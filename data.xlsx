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di\OneDrive\Desktop\Happines Analysis {Project\"/>
    </mc:Choice>
  </mc:AlternateContent>
  <xr:revisionPtr revIDLastSave="0" documentId="13_ncr:1_{7C1174A9-8FEB-47A3-8FA0-C0CFFCEF01CC}" xr6:coauthVersionLast="47" xr6:coauthVersionMax="47" xr10:uidLastSave="{00000000-0000-0000-0000-000000000000}"/>
  <bookViews>
    <workbookView xWindow="-108" yWindow="-108" windowWidth="23256" windowHeight="12576" activeTab="4" xr2:uid="{BA1A9353-5BA0-45C6-B058-51B9EDB5CC27}"/>
  </bookViews>
  <sheets>
    <sheet name="2015" sheetId="1" r:id="rId1"/>
    <sheet name="2016" sheetId="3" r:id="rId2"/>
    <sheet name="2017" sheetId="4" r:id="rId3"/>
    <sheet name="2018" sheetId="5" r:id="rId4"/>
    <sheet name="2019" sheetId="6" r:id="rId5"/>
    <sheet name="Sheet1" sheetId="2" r:id="rId6"/>
  </sheets>
  <definedNames>
    <definedName name="ExternalData_1" localSheetId="1" hidden="1">'2016'!$A$1:$M$158</definedName>
    <definedName name="ExternalData_1" localSheetId="2" hidden="1">'2017'!$A$1:$M$156</definedName>
    <definedName name="ExternalData_1" localSheetId="3" hidden="1">'2018'!$A$1:$J$157</definedName>
    <definedName name="ExternalData_1" localSheetId="4" hidden="1">'2019'!$A$1:$J$157</definedName>
  </definedNames>
  <calcPr calcId="0"/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2" i="6"/>
  <c r="C123" i="6"/>
  <c r="C125" i="6"/>
  <c r="C126" i="6"/>
  <c r="C127" i="6"/>
  <c r="C128" i="6"/>
  <c r="C129" i="6"/>
  <c r="C130" i="6"/>
  <c r="C131" i="6"/>
  <c r="C132" i="6"/>
  <c r="C133" i="6"/>
  <c r="C134" i="6"/>
  <c r="C135" i="6"/>
  <c r="C137" i="6"/>
  <c r="C138" i="6"/>
  <c r="C139" i="6"/>
  <c r="C140" i="6"/>
  <c r="C141" i="6"/>
  <c r="C142" i="6"/>
  <c r="C143" i="6"/>
  <c r="C144" i="6"/>
  <c r="C146" i="6"/>
  <c r="C147" i="6"/>
  <c r="C148" i="6"/>
  <c r="C149" i="6"/>
  <c r="C150" i="6"/>
  <c r="C151" i="6"/>
  <c r="C152" i="6"/>
  <c r="C153" i="6"/>
  <c r="C154" i="6"/>
  <c r="C155" i="6"/>
  <c r="C157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7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B2654-D456-42FD-8D64-820EA34DA2EE}" keepAlive="1" name="Query - 2016" description="Connection to the '2016' query in the workbook." type="5" refreshedVersion="8" background="1" saveData="1">
    <dbPr connection="Provider=Microsoft.Mashup.OleDb.1;Data Source=$Workbook$;Location=2016;Extended Properties=&quot;&quot;" command="SELECT * FROM [2016]"/>
  </connection>
  <connection id="2" xr16:uid="{31C15246-9384-4E65-B602-8ABF65E94F3C}" keepAlive="1" name="Query - 2017" description="Connection to the '2017' query in the workbook." type="5" refreshedVersion="8" background="1" saveData="1">
    <dbPr connection="Provider=Microsoft.Mashup.OleDb.1;Data Source=$Workbook$;Location=2017;Extended Properties=&quot;&quot;" command="SELECT * FROM [2017]"/>
  </connection>
  <connection id="3" xr16:uid="{3B602F35-2F03-46A4-9524-1AE299F46D2A}" keepAlive="1" name="Query - 2018" description="Connection to the '2018' query in the workbook." type="5" refreshedVersion="8" background="1" saveData="1">
    <dbPr connection="Provider=Microsoft.Mashup.OleDb.1;Data Source=$Workbook$;Location=2018;Extended Properties=&quot;&quot;" command="SELECT * FROM [2018]"/>
  </connection>
  <connection id="4" xr16:uid="{7FE97A07-71E6-46E2-B779-02F7FCAE15EC}" keepAlive="1" name="Query - 2019" description="Connection to the '2019' query in the workbook." type="5" refreshedVersion="8" background="1" saveData="1">
    <dbPr connection="Provider=Microsoft.Mashup.OleDb.1;Data Source=$Workbook$;Location=2019;Extended Properties=&quot;&quot;" command="SELECT * FROM [2019]"/>
  </connection>
</connections>
</file>

<file path=xl/sharedStrings.xml><?xml version="1.0" encoding="utf-8"?>
<sst xmlns="http://schemas.openxmlformats.org/spreadsheetml/2006/main" count="1334" uniqueCount="324">
  <si>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</si>
  <si>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</si>
  <si>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</si>
  <si>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</si>
  <si>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</si>
  <si>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</si>
  <si>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</si>
  <si>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</si>
  <si>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</si>
  <si>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</si>
  <si>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</si>
  <si>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</si>
  <si>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</si>
  <si>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</si>
  <si>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</si>
  <si>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</si>
  <si>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</si>
  <si>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</si>
  <si>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</si>
  <si>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</si>
  <si>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</si>
  <si>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</si>
  <si>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</si>
  <si>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</si>
  <si>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</si>
  <si>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</si>
  <si>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</si>
  <si>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</si>
  <si>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</si>
  <si>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</si>
  <si>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</si>
  <si>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</si>
  <si>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</si>
  <si>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</si>
  <si>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</si>
  <si>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</si>
  <si>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</si>
  <si>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</si>
  <si>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</si>
  <si>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</si>
  <si>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</si>
  <si>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</si>
  <si>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</si>
  <si>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</si>
  <si>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</si>
  <si>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</si>
  <si>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</si>
  <si>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</si>
  <si>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</si>
  <si>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</si>
  <si>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</si>
  <si>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</si>
  <si>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</si>
  <si>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</si>
  <si>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</si>
  <si>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</si>
  <si>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</si>
  <si>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</si>
  <si>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</si>
  <si>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</si>
  <si>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</si>
  <si>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</si>
  <si>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</si>
  <si>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</si>
  <si>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</si>
  <si>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</si>
  <si>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</si>
  <si>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</si>
  <si>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</si>
  <si>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</si>
  <si>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</si>
  <si>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</si>
  <si>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</si>
  <si>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</si>
  <si>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</si>
  <si>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</si>
  <si>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</si>
  <si>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</si>
  <si>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</si>
  <si>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</si>
  <si>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</si>
  <si>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</si>
  <si>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</si>
  <si>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</si>
  <si>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</si>
  <si>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</si>
  <si>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</si>
  <si>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</si>
  <si>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</si>
  <si>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</si>
  <si>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</si>
  <si>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</si>
  <si>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</si>
  <si>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</si>
  <si>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</si>
  <si>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</si>
  <si>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</si>
  <si>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</si>
  <si>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</si>
  <si>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</si>
  <si>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</si>
  <si>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</si>
  <si>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</si>
  <si>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</si>
  <si>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</si>
  <si>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</si>
  <si>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</si>
  <si>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</si>
  <si>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</si>
  <si>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</si>
  <si>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</si>
  <si>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</si>
  <si>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</si>
  <si>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</si>
  <si>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</si>
  <si>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</si>
  <si>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</si>
  <si>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</si>
  <si>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</si>
  <si>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</si>
  <si>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</si>
  <si>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</si>
  <si>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</si>
  <si>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</si>
  <si>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</si>
  <si>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</si>
  <si>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</si>
  <si>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</si>
  <si>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</si>
  <si>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</si>
  <si>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</si>
  <si>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</si>
  <si>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</si>
  <si>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</si>
  <si>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</si>
  <si>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</si>
  <si>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</si>
  <si>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</si>
  <si>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</si>
  <si>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</si>
  <si>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</si>
  <si>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</si>
  <si>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</si>
  <si>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</si>
  <si>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</si>
  <si>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</si>
  <si>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</si>
  <si>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</si>
  <si>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</si>
  <si>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</si>
  <si>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</si>
  <si>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</si>
  <si>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</si>
  <si>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</si>
  <si>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</si>
  <si>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</si>
  <si>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</si>
  <si>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</si>
  <si>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</si>
  <si>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</si>
  <si>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</si>
  <si>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</si>
  <si>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</si>
  <si>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</si>
  <si>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</si>
  <si>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</si>
  <si>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</si>
  <si>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</si>
  <si>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</si>
  <si>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</si>
  <si>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</si>
  <si>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</si>
  <si>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</si>
  <si>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</si>
  <si>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</si>
  <si>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</si>
  <si>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</si>
  <si>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</si>
  <si>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</si>
  <si>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</si>
  <si>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Lower Confidence Interval</t>
  </si>
  <si>
    <t>Upper Confidence Interval</t>
  </si>
  <si>
    <t>Puerto Rico</t>
  </si>
  <si>
    <t>Belize</t>
  </si>
  <si>
    <t>Somalia</t>
  </si>
  <si>
    <t>Somaliland Region</t>
  </si>
  <si>
    <t>Namibia</t>
  </si>
  <si>
    <t>South Sudan</t>
  </si>
  <si>
    <t>Happiness.Rank</t>
  </si>
  <si>
    <t>Happiness.Score</t>
  </si>
  <si>
    <t>Whisker.high</t>
  </si>
  <si>
    <t>Whisker.low</t>
  </si>
  <si>
    <t>Economy..GDP.per.Capita.</t>
  </si>
  <si>
    <t>Health..Life.Expectancy.</t>
  </si>
  <si>
    <t>Trust..Government.Corruption.</t>
  </si>
  <si>
    <t>Dystopia.Residual</t>
  </si>
  <si>
    <t>Taiwan Province of China</t>
  </si>
  <si>
    <t>Hong Kong S.A.R., China</t>
  </si>
  <si>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</si>
  <si>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</si>
  <si>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</si>
  <si>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</si>
  <si>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</si>
  <si>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</si>
  <si>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</si>
  <si>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Perceptions of corruption</t>
  </si>
  <si>
    <t>0.393</t>
  </si>
  <si>
    <t>0.340</t>
  </si>
  <si>
    <t>0.408</t>
  </si>
  <si>
    <t>0.138</t>
  </si>
  <si>
    <t>0.357</t>
  </si>
  <si>
    <t>0.295</t>
  </si>
  <si>
    <t>0.291</t>
  </si>
  <si>
    <t>0.389</t>
  </si>
  <si>
    <t>0.383</t>
  </si>
  <si>
    <t>0.302</t>
  </si>
  <si>
    <t>0.082</t>
  </si>
  <si>
    <t>0.224</t>
  </si>
  <si>
    <t>0.101</t>
  </si>
  <si>
    <t>0.306</t>
  </si>
  <si>
    <t>0.280</t>
  </si>
  <si>
    <t>0.240</t>
  </si>
  <si>
    <t>0.321</t>
  </si>
  <si>
    <t>0.133</t>
  </si>
  <si>
    <t>0.272</t>
  </si>
  <si>
    <t>N/A</t>
  </si>
  <si>
    <t>0.034</t>
  </si>
  <si>
    <t>0.142</t>
  </si>
  <si>
    <t>0.176</t>
  </si>
  <si>
    <t>0.095</t>
  </si>
  <si>
    <t>0.061</t>
  </si>
  <si>
    <t>0.078</t>
  </si>
  <si>
    <t>0.063</t>
  </si>
  <si>
    <t>0.088</t>
  </si>
  <si>
    <t>0.054</t>
  </si>
  <si>
    <t>0.071</t>
  </si>
  <si>
    <t>0.155</t>
  </si>
  <si>
    <t>0.171</t>
  </si>
  <si>
    <t>0.127</t>
  </si>
  <si>
    <t>0.457</t>
  </si>
  <si>
    <t>0.059</t>
  </si>
  <si>
    <t>0.074</t>
  </si>
  <si>
    <t>0.039</t>
  </si>
  <si>
    <t>Trinidad &amp; Tobago</t>
  </si>
  <si>
    <t>0.019</t>
  </si>
  <si>
    <t>0.014</t>
  </si>
  <si>
    <t>0.128</t>
  </si>
  <si>
    <t>0.064</t>
  </si>
  <si>
    <t>0.123</t>
  </si>
  <si>
    <t>0.259</t>
  </si>
  <si>
    <t>0.106</t>
  </si>
  <si>
    <t>0.029</t>
  </si>
  <si>
    <t>0.028</t>
  </si>
  <si>
    <t>0.120</t>
  </si>
  <si>
    <t>0.089</t>
  </si>
  <si>
    <t>0.006</t>
  </si>
  <si>
    <t>0.051</t>
  </si>
  <si>
    <t>0.001</t>
  </si>
  <si>
    <t>0.066</t>
  </si>
  <si>
    <t>0.150</t>
  </si>
  <si>
    <t>0.050</t>
  </si>
  <si>
    <t>0.031</t>
  </si>
  <si>
    <t>Northern Cyprus</t>
  </si>
  <si>
    <t>0.154</t>
  </si>
  <si>
    <t>0.025</t>
  </si>
  <si>
    <t>0.121</t>
  </si>
  <si>
    <t>0.035</t>
  </si>
  <si>
    <t>0.174</t>
  </si>
  <si>
    <t>0.023</t>
  </si>
  <si>
    <t>0.000</t>
  </si>
  <si>
    <t>0.037</t>
  </si>
  <si>
    <t>0.022</t>
  </si>
  <si>
    <t>0.148</t>
  </si>
  <si>
    <t>0.105</t>
  </si>
  <si>
    <t>0.109</t>
  </si>
  <si>
    <t>0.113</t>
  </si>
  <si>
    <t>0.017</t>
  </si>
  <si>
    <t>0.043</t>
  </si>
  <si>
    <t>0.044</t>
  </si>
  <si>
    <t>0.136</t>
  </si>
  <si>
    <t>0.081</t>
  </si>
  <si>
    <t>0.135</t>
  </si>
  <si>
    <t>0.103</t>
  </si>
  <si>
    <t>0.052</t>
  </si>
  <si>
    <t>0.134</t>
  </si>
  <si>
    <t>0.032</t>
  </si>
  <si>
    <t>0.079</t>
  </si>
  <si>
    <t>0.018</t>
  </si>
  <si>
    <t>0.282</t>
  </si>
  <si>
    <t>0.009</t>
  </si>
  <si>
    <t>0.076</t>
  </si>
  <si>
    <t>0.056</t>
  </si>
  <si>
    <t>0.129</t>
  </si>
  <si>
    <t>0.053</t>
  </si>
  <si>
    <t>0.077</t>
  </si>
  <si>
    <t>0.144</t>
  </si>
  <si>
    <t>0.065</t>
  </si>
  <si>
    <t>0.107</t>
  </si>
  <si>
    <t>0.158</t>
  </si>
  <si>
    <t>0.055</t>
  </si>
  <si>
    <t>0.093</t>
  </si>
  <si>
    <t>0.146</t>
  </si>
  <si>
    <t>0.215</t>
  </si>
  <si>
    <t>0.178</t>
  </si>
  <si>
    <t>0.060</t>
  </si>
  <si>
    <t>0.099</t>
  </si>
  <si>
    <t>0.067</t>
  </si>
  <si>
    <t>0.011</t>
  </si>
  <si>
    <t>0.094</t>
  </si>
  <si>
    <t>0.112</t>
  </si>
  <si>
    <t>0.049</t>
  </si>
  <si>
    <t>0.036</t>
  </si>
  <si>
    <t>0.092</t>
  </si>
  <si>
    <t>0.080</t>
  </si>
  <si>
    <t>0.104</t>
  </si>
  <si>
    <t>0.030</t>
  </si>
  <si>
    <t>0.444</t>
  </si>
  <si>
    <t>0.097</t>
  </si>
  <si>
    <t>0.038</t>
  </si>
  <si>
    <t>North Macedonia</t>
  </si>
  <si>
    <t>Gambia</t>
  </si>
  <si>
    <t>Year</t>
  </si>
  <si>
    <t xml:space="preserve"> Central and Eastern Europe</t>
  </si>
  <si>
    <t xml:space="preserve"> Sub-Saharan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</si>
</sst>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1122E0-7076-4F0A-B6B1-95B5FCFBE7A4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ountry" tableColumnId="1"/>
      <queryTableField id="2" name="Region" tableColumnId="2"/>
      <queryTableField id="3" name="Happiness Rank" tableColumnId="3"/>
      <queryTableField id="4" name="Happiness Score" tableColumnId="4"/>
      <queryTableField id="5" name="Lower Confidence Interval" tableColumnId="5"/>
      <queryTableField id="6" name="Upper Confidence Interval" tableColumnId="6"/>
      <queryTableField id="7" name="Economy (GDP per Capita)" tableColumnId="7"/>
      <queryTableField id="8" name="Family" tableColumnId="8"/>
      <queryTableField id="9" name="Health (Life Expectancy)" tableColumnId="9"/>
      <queryTableField id="10" name="Freedom" tableColumnId="10"/>
      <queryTableField id="11" name="Trust (Government Corruption)" tableColumnId="11"/>
      <queryTableField id="12" name="Generosity" tableColumnId="12"/>
      <queryTableField id="13" name="Dystopia Residual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1ED1B4-D85B-4469-B833-B6E03EE5C724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ountry" tableColumnId="1"/>
      <queryTableField id="2" name="Happiness.Rank" tableColumnId="2"/>
      <queryTableField id="14" dataBound="0" tableColumnId="15"/>
      <queryTableField id="3" name="Happiness.Score" tableColumnId="3"/>
      <queryTableField id="4" name="Whisker.high" tableColumnId="4"/>
      <queryTableField id="5" name="Whisker.low" tableColumnId="5"/>
      <queryTableField id="6" name="Economy..GDP.per.Capita." tableColumnId="6"/>
      <queryTableField id="7" name="Family" tableColumnId="7"/>
      <queryTableField id="8" name="Health..Life.Expectancy." tableColumnId="8"/>
      <queryTableField id="9" name="Freedom" tableColumnId="9"/>
      <queryTableField id="10" name="Generosity" tableColumnId="10"/>
      <queryTableField id="11" name="Trust..Government.Corruption." tableColumnId="11"/>
      <queryTableField id="12" name="Dystopia.Residual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DCBA719-B5CB-4889-8EC4-42C6CB3EF171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Overall rank" tableColumnId="1"/>
      <queryTableField id="2" name="Country or region" tableColumnId="2"/>
      <queryTableField id="11" dataBound="0" tableColumnId="11"/>
      <queryTableField id="3" name="Score" tableColumnId="3"/>
      <queryTableField id="4" name="GDP per capita" tableColumnId="4"/>
      <queryTableField id="5" name="Social support" tableColumnId="5"/>
      <queryTableField id="6" name="Healthy life expectancy" tableColumnId="6"/>
      <queryTableField id="7" name="Freedom to make life choices" tableColumnId="7"/>
      <queryTableField id="8" name="Generosity" tableColumnId="8"/>
      <queryTableField id="9" name="Perceptions of corruption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EBFDFD-D1D6-4ED3-834A-E23E5296B2E8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Overall rank" tableColumnId="1"/>
      <queryTableField id="2" name="Country or region" tableColumnId="2"/>
      <queryTableField id="11" dataBound="0" tableColumnId="11"/>
      <queryTableField id="3" name="Score" tableColumnId="3"/>
      <queryTableField id="4" name="GDP per capita" tableColumnId="4"/>
      <queryTableField id="5" name="Social support" tableColumnId="5"/>
      <queryTableField id="6" name="Healthy life expectancy" tableColumnId="6"/>
      <queryTableField id="7" name="Freedom to make life choices" tableColumnId="7"/>
      <queryTableField id="8" name="Generosity" tableColumnId="8"/>
      <queryTableField id="9" name="Perceptions of corruption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BDC5A-B1CB-42B7-BE9D-D25C00BC8DD9}" name="_2016" displayName="_2016" ref="A1:N158" tableType="queryTable" totalsRowShown="0">
  <autoFilter ref="A1:N158" xr:uid="{6B6BDC5A-B1CB-42B7-BE9D-D25C00BC8DD9}"/>
  <tableColumns count="14">
    <tableColumn id="1" xr3:uid="{C59FA26A-C044-4C65-80B7-C84FDFDB6F61}" uniqueName="1" name="Country" queryTableFieldId="1" dataDxfId="8"/>
    <tableColumn id="2" xr3:uid="{13568743-ECAF-45EF-A50C-FEB9E57EACCB}" uniqueName="2" name="Region" queryTableFieldId="2" dataDxfId="7"/>
    <tableColumn id="3" xr3:uid="{FB261BA7-F285-49C1-ADE6-4BFE7471E9A5}" uniqueName="3" name="Happiness Rank" queryTableFieldId="3"/>
    <tableColumn id="4" xr3:uid="{136F39B2-B5BD-45C0-86C7-867E0441AFC1}" uniqueName="4" name="Happiness Score" queryTableFieldId="4"/>
    <tableColumn id="5" xr3:uid="{DA65B39D-2C25-4876-932E-597030E4E2D1}" uniqueName="5" name="Lower Confidence Interval" queryTableFieldId="5"/>
    <tableColumn id="6" xr3:uid="{835BDA78-A179-4058-8024-42ECFF246FBF}" uniqueName="6" name="Upper Confidence Interval" queryTableFieldId="6"/>
    <tableColumn id="7" xr3:uid="{3E9326AF-CF31-47E6-8411-817C6DF5F8E5}" uniqueName="7" name="Economy (GDP per Capita)" queryTableFieldId="7"/>
    <tableColumn id="8" xr3:uid="{98F786BC-54E1-4205-B989-465F64FC39AA}" uniqueName="8" name="Family" queryTableFieldId="8"/>
    <tableColumn id="9" xr3:uid="{925E66F2-6649-477B-B343-3DE691F99C4E}" uniqueName="9" name="Health (Life Expectancy)" queryTableFieldId="9"/>
    <tableColumn id="10" xr3:uid="{D7186974-F3B0-4AC2-8E9A-137EEF327BA7}" uniqueName="10" name="Freedom" queryTableFieldId="10"/>
    <tableColumn id="11" xr3:uid="{AD543B1D-C5AC-4E36-A283-CC0C8F3C4201}" uniqueName="11" name="Trust (Government Corruption)" queryTableFieldId="11"/>
    <tableColumn id="12" xr3:uid="{A89E8E9F-582C-4EB7-8DE7-13C6B86454EF}" uniqueName="12" name="Generosity" queryTableFieldId="12"/>
    <tableColumn id="13" xr3:uid="{84883852-6605-41EA-A2C4-5F30B8BF7633}" uniqueName="13" name="Dystopia Residual" queryTableFieldId="13"/>
    <tableColumn id="14" xr3:uid="{3D2C49CB-9F0B-4CAE-A475-C63CF9ED4D4C}" uniqueName="14" name="Year" queryTableField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4155F-B5C2-4163-904F-7FF75FFA5BEA}" name="_2017" displayName="_2017" ref="A1:N156" tableType="queryTable" totalsRowShown="0">
  <autoFilter ref="A1:N156" xr:uid="{3E04155F-B5C2-4163-904F-7FF75FFA5BEA}"/>
  <tableColumns count="14">
    <tableColumn id="1" xr3:uid="{FFC2F0A1-9048-41FF-AC85-1A65E43C64F7}" uniqueName="1" name="Country" queryTableFieldId="1" dataDxfId="6"/>
    <tableColumn id="2" xr3:uid="{699B601A-2988-4E39-A6E2-3785C0ADA350}" uniqueName="2" name="Happiness.Rank" queryTableFieldId="2"/>
    <tableColumn id="15" xr3:uid="{B4438B6C-AEB9-4E38-BAA0-2F24D19801BA}" uniqueName="15" name="Region" queryTableFieldId="14" dataDxfId="2">
      <calculatedColumnFormula>VLOOKUP(_2017[[#This Row],[Country]],'2016'!$1:$1048576,2,FALSE)</calculatedColumnFormula>
    </tableColumn>
    <tableColumn id="3" xr3:uid="{170195B3-2C8E-45D4-B13A-DCBD61859D09}" uniqueName="3" name="Happiness.Score" queryTableFieldId="3"/>
    <tableColumn id="4" xr3:uid="{28051143-D388-41D1-B79B-3B3A15C1D118}" uniqueName="4" name="Whisker.high" queryTableFieldId="4"/>
    <tableColumn id="5" xr3:uid="{33F1C83B-EA91-4BBC-B38E-84D6F49BC79B}" uniqueName="5" name="Whisker.low" queryTableFieldId="5"/>
    <tableColumn id="6" xr3:uid="{266BB79F-1213-4D97-BA01-D204336605F6}" uniqueName="6" name="Economy..GDP.per.Capita." queryTableFieldId="6"/>
    <tableColumn id="7" xr3:uid="{25E52AD5-D7F1-492D-8145-BDD2433345F7}" uniqueName="7" name="Family" queryTableFieldId="7"/>
    <tableColumn id="8" xr3:uid="{B1CEC47F-4A19-4CEC-A01E-CBAE289F3B84}" uniqueName="8" name="Health..Life.Expectancy." queryTableFieldId="8"/>
    <tableColumn id="9" xr3:uid="{F61C8157-42F0-4FD7-B935-E1AC1078A5C1}" uniqueName="9" name="Freedom" queryTableFieldId="9"/>
    <tableColumn id="10" xr3:uid="{726A8BAB-6561-4AD2-ABBA-7E6E5EE7AAF7}" uniqueName="10" name="Generosity" queryTableFieldId="10"/>
    <tableColumn id="11" xr3:uid="{245C771D-29DC-4485-B659-9D5422E6DD19}" uniqueName="11" name="Trust..Government.Corruption." queryTableFieldId="11"/>
    <tableColumn id="12" xr3:uid="{9284E391-8B49-4342-B389-73FF4808173A}" uniqueName="12" name="Dystopia.Residual" queryTableFieldId="12"/>
    <tableColumn id="13" xr3:uid="{808A6E99-EAEB-42D9-A2D8-220C04D01122}" uniqueName="13" name="Year" queryTableField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091027-3842-4C6B-8DA7-3B6C095FC05F}" name="_2018" displayName="_2018" ref="A1:K157" tableType="queryTable" totalsRowShown="0">
  <autoFilter ref="A1:K157" xr:uid="{73091027-3842-4C6B-8DA7-3B6C095FC05F}"/>
  <tableColumns count="11">
    <tableColumn id="1" xr3:uid="{D2CF12CA-C911-432B-BF0D-3B0E012B46B9}" uniqueName="1" name="Overall rank" queryTableFieldId="1"/>
    <tableColumn id="2" xr3:uid="{B49A5D30-4BCC-40E1-8B42-197A8F5E941B}" uniqueName="2" name="Country or region" queryTableFieldId="2" dataDxfId="5"/>
    <tableColumn id="11" xr3:uid="{505973EB-4F38-4C41-93C0-E98CAC4E42FC}" uniqueName="11" name="Region" queryTableFieldId="11" dataDxfId="1">
      <calculatedColumnFormula>VLOOKUP(_2018[[#This Row],[Country or region]],'2016'!$1:$1048576,2,FALSE)</calculatedColumnFormula>
    </tableColumn>
    <tableColumn id="3" xr3:uid="{7478601F-146D-45A1-B642-1B81CE0DF2DF}" uniqueName="3" name="Score" queryTableFieldId="3"/>
    <tableColumn id="4" xr3:uid="{58B92C64-FB47-448E-A714-F6C8BA61E721}" uniqueName="4" name="GDP per capita" queryTableFieldId="4"/>
    <tableColumn id="5" xr3:uid="{4D727769-A1D0-4BEE-90E6-7034700A11AA}" uniqueName="5" name="Social support" queryTableFieldId="5"/>
    <tableColumn id="6" xr3:uid="{D122FBA7-4141-4080-9477-C6EF97232B36}" uniqueName="6" name="Healthy life expectancy" queryTableFieldId="6"/>
    <tableColumn id="7" xr3:uid="{F4FCEEEF-B1FC-4739-8B97-43E47B2A46C2}" uniqueName="7" name="Freedom to make life choices" queryTableFieldId="7"/>
    <tableColumn id="8" xr3:uid="{79A20970-A7B8-4FD7-A8A1-CB504CA4CA1B}" uniqueName="8" name="Generosity" queryTableFieldId="8"/>
    <tableColumn id="9" xr3:uid="{4FCC6CBF-28D9-41A1-8038-F78202E41CC2}" uniqueName="9" name="Perceptions of corruption" queryTableFieldId="9" dataDxfId="4"/>
    <tableColumn id="10" xr3:uid="{2ACE5080-75A5-4623-942F-C9D8C201666B}" uniqueName="10" name="Year" queryTableField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6384D1-9812-4586-B274-40B8113B14A1}" name="_2019" displayName="_2019" ref="A1:K157" tableType="queryTable" totalsRowShown="0">
  <autoFilter ref="A1:K157" xr:uid="{C56384D1-9812-4586-B274-40B8113B14A1}"/>
  <tableColumns count="11">
    <tableColumn id="1" xr3:uid="{7490DED8-3A55-4A99-8582-AC7B3B4A596D}" uniqueName="1" name="Overall rank" queryTableFieldId="1"/>
    <tableColumn id="2" xr3:uid="{2148962A-5728-4755-9129-C3D8FEE68BF9}" uniqueName="2" name="Country or region" queryTableFieldId="2" dataDxfId="3"/>
    <tableColumn id="11" xr3:uid="{A27D47D2-C87C-4AD6-A46B-22C3791D4C2D}" uniqueName="11" name="Region" queryTableFieldId="11" dataDxfId="0">
      <calculatedColumnFormula>VLOOKUP(_2019[[#This Row],[Country or region]],'2016'!$1:$1048576,2,FALSE)</calculatedColumnFormula>
    </tableColumn>
    <tableColumn id="3" xr3:uid="{70854EE5-01CA-481B-9B2B-603A8FF7861A}" uniqueName="3" name="Score" queryTableFieldId="3"/>
    <tableColumn id="4" xr3:uid="{CACA48D6-9CED-403A-9E83-97156F32F483}" uniqueName="4" name="GDP per capita" queryTableFieldId="4"/>
    <tableColumn id="5" xr3:uid="{2F91A17C-22C9-494E-A8EA-C6648F2234CE}" uniqueName="5" name="Social support" queryTableFieldId="5"/>
    <tableColumn id="6" xr3:uid="{01CB8031-A0BC-4AA3-8446-6984B313B45A}" uniqueName="6" name="Healthy life expectancy" queryTableFieldId="6"/>
    <tableColumn id="7" xr3:uid="{8B5FA1EA-6FC7-4369-8D20-C2A31F041243}" uniqueName="7" name="Freedom to make life choices" queryTableFieldId="7"/>
    <tableColumn id="8" xr3:uid="{0820DF87-A906-4F5D-B75F-50A2F22DEF00}" uniqueName="8" name="Generosity" queryTableFieldId="8"/>
    <tableColumn id="9" xr3:uid="{AFA7C7E1-D39E-41FD-96AE-73D266023029}" uniqueName="9" name="Perceptions of corruption" queryTableFieldId="9"/>
    <tableColumn id="10" xr3:uid="{5CCFC8B5-AF56-47AB-987D-1A859B3D9FEB}" uniqueName="10" name="Year" queryTableField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0A75-1D94-4202-8371-C337A2EBB0D3}">
  <dimension ref="A1:M159"/>
  <sheetViews>
    <sheetView workbookViewId="0">
      <selection activeCell="M2" sqref="M2:M159"/>
    </sheetView>
  </sheetViews>
  <sheetFormatPr defaultRowHeight="14.4" x14ac:dyDescent="0.3"/>
  <cols>
    <col min="1" max="1" width="20.5546875" bestFit="1" customWidth="1"/>
    <col min="2" max="2" width="26.5546875" bestFit="1" customWidth="1"/>
    <col min="3" max="3" width="14" bestFit="1" customWidth="1"/>
    <col min="4" max="4" width="14.6640625" bestFit="1" customWidth="1"/>
    <col min="5" max="5" width="12.5546875" bestFit="1" customWidth="1"/>
    <col min="6" max="6" width="22.33203125" bestFit="1" customWidth="1"/>
    <col min="7" max="7" width="8" bestFit="1" customWidth="1"/>
    <col min="8" max="8" width="20.33203125" bestFit="1" customWidth="1"/>
    <col min="9" max="9" width="8.21875" bestFit="1" customWidth="1"/>
    <col min="10" max="10" width="25.6640625" bestFit="1" customWidth="1"/>
    <col min="11" max="11" width="9.6640625" bestFit="1" customWidth="1"/>
    <col min="12" max="12" width="15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321</v>
      </c>
    </row>
    <row r="2" spans="1:13" x14ac:dyDescent="0.3">
      <c r="A2" t="s">
        <v>12</v>
      </c>
      <c r="B2" t="s">
        <v>13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  <c r="M2">
        <v>2015</v>
      </c>
    </row>
    <row r="3" spans="1:13" x14ac:dyDescent="0.3">
      <c r="A3" t="s">
        <v>14</v>
      </c>
      <c r="B3" t="s">
        <v>13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  <c r="M3">
        <v>2015</v>
      </c>
    </row>
    <row r="4" spans="1:13" x14ac:dyDescent="0.3">
      <c r="A4" t="s">
        <v>15</v>
      </c>
      <c r="B4" t="s">
        <v>13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  <c r="M4">
        <v>2015</v>
      </c>
    </row>
    <row r="5" spans="1:13" x14ac:dyDescent="0.3">
      <c r="A5" t="s">
        <v>16</v>
      </c>
      <c r="B5" t="s">
        <v>13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  <c r="M5">
        <v>2015</v>
      </c>
    </row>
    <row r="6" spans="1:13" x14ac:dyDescent="0.3">
      <c r="A6" t="s">
        <v>17</v>
      </c>
      <c r="B6" t="s">
        <v>18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  <c r="M6">
        <v>2015</v>
      </c>
    </row>
    <row r="7" spans="1:13" x14ac:dyDescent="0.3">
      <c r="A7" t="s">
        <v>19</v>
      </c>
      <c r="B7" t="s">
        <v>13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  <c r="M7">
        <v>2015</v>
      </c>
    </row>
    <row r="8" spans="1:13" x14ac:dyDescent="0.3">
      <c r="A8" t="s">
        <v>20</v>
      </c>
      <c r="B8" t="s">
        <v>13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  <c r="M8">
        <v>2015</v>
      </c>
    </row>
    <row r="9" spans="1:13" x14ac:dyDescent="0.3">
      <c r="A9" t="s">
        <v>21</v>
      </c>
      <c r="B9" t="s">
        <v>13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  <c r="M9">
        <v>2015</v>
      </c>
    </row>
    <row r="10" spans="1:13" x14ac:dyDescent="0.3">
      <c r="A10" t="s">
        <v>22</v>
      </c>
      <c r="B10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  <c r="M10">
        <v>2015</v>
      </c>
    </row>
    <row r="11" spans="1:13" x14ac:dyDescent="0.3">
      <c r="A11" t="s">
        <v>24</v>
      </c>
      <c r="B11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  <c r="M11">
        <v>2015</v>
      </c>
    </row>
    <row r="12" spans="1:13" x14ac:dyDescent="0.3">
      <c r="A12" t="s">
        <v>25</v>
      </c>
      <c r="B12" t="s">
        <v>26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  <c r="M12">
        <v>2015</v>
      </c>
    </row>
    <row r="13" spans="1:13" x14ac:dyDescent="0.3">
      <c r="A13" t="s">
        <v>27</v>
      </c>
      <c r="B13" t="s">
        <v>28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  <c r="M13">
        <v>2015</v>
      </c>
    </row>
    <row r="14" spans="1:13" x14ac:dyDescent="0.3">
      <c r="A14" t="s">
        <v>29</v>
      </c>
      <c r="B14" t="s">
        <v>13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  <c r="M14">
        <v>2015</v>
      </c>
    </row>
    <row r="15" spans="1:13" x14ac:dyDescent="0.3">
      <c r="A15" t="s">
        <v>30</v>
      </c>
      <c r="B15" t="s">
        <v>28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  <c r="M15">
        <v>2015</v>
      </c>
    </row>
    <row r="16" spans="1:13" x14ac:dyDescent="0.3">
      <c r="A16" t="s">
        <v>31</v>
      </c>
      <c r="B16" t="s">
        <v>18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  <c r="M16">
        <v>2015</v>
      </c>
    </row>
    <row r="17" spans="1:13" x14ac:dyDescent="0.3">
      <c r="A17" t="s">
        <v>32</v>
      </c>
      <c r="B17" t="s">
        <v>28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  <c r="M17">
        <v>2015</v>
      </c>
    </row>
    <row r="18" spans="1:13" x14ac:dyDescent="0.3">
      <c r="A18" t="s">
        <v>33</v>
      </c>
      <c r="B18" t="s">
        <v>13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  <c r="M18">
        <v>2015</v>
      </c>
    </row>
    <row r="19" spans="1:13" x14ac:dyDescent="0.3">
      <c r="A19" t="s">
        <v>34</v>
      </c>
      <c r="B19" t="s">
        <v>13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  <c r="M19">
        <v>2015</v>
      </c>
    </row>
    <row r="20" spans="1:13" x14ac:dyDescent="0.3">
      <c r="A20" t="s">
        <v>35</v>
      </c>
      <c r="B20" t="s">
        <v>13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  <c r="M20">
        <v>2015</v>
      </c>
    </row>
    <row r="21" spans="1:13" x14ac:dyDescent="0.3">
      <c r="A21" t="s">
        <v>36</v>
      </c>
      <c r="B21" t="s">
        <v>26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  <c r="M21">
        <v>2015</v>
      </c>
    </row>
    <row r="22" spans="1:13" x14ac:dyDescent="0.3">
      <c r="A22" t="s">
        <v>37</v>
      </c>
      <c r="B22" t="s">
        <v>13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  <c r="M22">
        <v>2015</v>
      </c>
    </row>
    <row r="23" spans="1:13" x14ac:dyDescent="0.3">
      <c r="A23" t="s">
        <v>38</v>
      </c>
      <c r="B23" t="s">
        <v>26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  <c r="M23">
        <v>2015</v>
      </c>
    </row>
    <row r="24" spans="1:13" x14ac:dyDescent="0.3">
      <c r="A24" t="s">
        <v>39</v>
      </c>
      <c r="B24" t="s">
        <v>28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  <c r="M24">
        <v>2015</v>
      </c>
    </row>
    <row r="25" spans="1:13" x14ac:dyDescent="0.3">
      <c r="A25" t="s">
        <v>40</v>
      </c>
      <c r="B25" t="s">
        <v>41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  <c r="M25">
        <v>2015</v>
      </c>
    </row>
    <row r="26" spans="1:13" x14ac:dyDescent="0.3">
      <c r="A26" t="s">
        <v>42</v>
      </c>
      <c r="B26" t="s">
        <v>28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  <c r="M26">
        <v>2015</v>
      </c>
    </row>
    <row r="27" spans="1:13" x14ac:dyDescent="0.3">
      <c r="A27" t="s">
        <v>43</v>
      </c>
      <c r="B27" t="s">
        <v>13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  <c r="M27">
        <v>2015</v>
      </c>
    </row>
    <row r="28" spans="1:13" x14ac:dyDescent="0.3">
      <c r="A28" t="s">
        <v>44</v>
      </c>
      <c r="B28" t="s">
        <v>28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  <c r="M28">
        <v>2015</v>
      </c>
    </row>
    <row r="29" spans="1:13" x14ac:dyDescent="0.3">
      <c r="A29" t="s">
        <v>45</v>
      </c>
      <c r="B29" t="s">
        <v>26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  <c r="M29">
        <v>2015</v>
      </c>
    </row>
    <row r="30" spans="1:13" x14ac:dyDescent="0.3">
      <c r="A30" t="s">
        <v>46</v>
      </c>
      <c r="B30" t="s">
        <v>13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  <c r="M30">
        <v>2015</v>
      </c>
    </row>
    <row r="31" spans="1:13" x14ac:dyDescent="0.3">
      <c r="A31" t="s">
        <v>47</v>
      </c>
      <c r="B31" t="s">
        <v>28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  <c r="M31">
        <v>2015</v>
      </c>
    </row>
    <row r="32" spans="1:13" x14ac:dyDescent="0.3">
      <c r="A32" t="s">
        <v>48</v>
      </c>
      <c r="B32" t="s">
        <v>49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  <c r="M32">
        <v>2015</v>
      </c>
    </row>
    <row r="33" spans="1:13" x14ac:dyDescent="0.3">
      <c r="A33" t="s">
        <v>50</v>
      </c>
      <c r="B33" t="s">
        <v>28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  <c r="M33">
        <v>2015</v>
      </c>
    </row>
    <row r="34" spans="1:13" x14ac:dyDescent="0.3">
      <c r="A34" t="s">
        <v>51</v>
      </c>
      <c r="B34" t="s">
        <v>28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  <c r="M34">
        <v>2015</v>
      </c>
    </row>
    <row r="35" spans="1:13" x14ac:dyDescent="0.3">
      <c r="A35" t="s">
        <v>52</v>
      </c>
      <c r="B35" t="s">
        <v>41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  <c r="M35">
        <v>2015</v>
      </c>
    </row>
    <row r="36" spans="1:13" x14ac:dyDescent="0.3">
      <c r="A36" t="s">
        <v>53</v>
      </c>
      <c r="B36" t="s">
        <v>26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  <c r="M36">
        <v>2015</v>
      </c>
    </row>
    <row r="37" spans="1:13" x14ac:dyDescent="0.3">
      <c r="A37" t="s">
        <v>54</v>
      </c>
      <c r="B37" t="s">
        <v>13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  <c r="M37">
        <v>2015</v>
      </c>
    </row>
    <row r="38" spans="1:13" x14ac:dyDescent="0.3">
      <c r="A38" t="s">
        <v>55</v>
      </c>
      <c r="B38" t="s">
        <v>13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  <c r="M38">
        <v>2015</v>
      </c>
    </row>
    <row r="39" spans="1:13" x14ac:dyDescent="0.3">
      <c r="A39" t="s">
        <v>56</v>
      </c>
      <c r="B39" t="s">
        <v>57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  <c r="M39">
        <v>2015</v>
      </c>
    </row>
    <row r="40" spans="1:13" x14ac:dyDescent="0.3">
      <c r="A40" t="s">
        <v>58</v>
      </c>
      <c r="B40" t="s">
        <v>26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  <c r="M40">
        <v>2015</v>
      </c>
    </row>
    <row r="41" spans="1:13" x14ac:dyDescent="0.3">
      <c r="A41" t="s">
        <v>59</v>
      </c>
      <c r="B41" t="s">
        <v>28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  <c r="M41">
        <v>2015</v>
      </c>
    </row>
    <row r="42" spans="1:13" x14ac:dyDescent="0.3">
      <c r="A42" t="s">
        <v>60</v>
      </c>
      <c r="B42" t="s">
        <v>28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  <c r="M42">
        <v>2015</v>
      </c>
    </row>
    <row r="43" spans="1:13" x14ac:dyDescent="0.3">
      <c r="A43" t="s">
        <v>61</v>
      </c>
      <c r="B43" t="s">
        <v>28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  <c r="M43">
        <v>2015</v>
      </c>
    </row>
    <row r="44" spans="1:13" x14ac:dyDescent="0.3">
      <c r="A44" t="s">
        <v>62</v>
      </c>
      <c r="B44" t="s">
        <v>28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  <c r="M44">
        <v>2015</v>
      </c>
    </row>
    <row r="45" spans="1:13" x14ac:dyDescent="0.3">
      <c r="A45" t="s">
        <v>63</v>
      </c>
      <c r="B45" t="s">
        <v>49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  <c r="M45">
        <v>2015</v>
      </c>
    </row>
    <row r="46" spans="1:13" x14ac:dyDescent="0.3">
      <c r="A46" t="s">
        <v>64</v>
      </c>
      <c r="B46" t="s">
        <v>49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  <c r="M46">
        <v>2015</v>
      </c>
    </row>
    <row r="47" spans="1:13" x14ac:dyDescent="0.3">
      <c r="A47" t="s">
        <v>65</v>
      </c>
      <c r="B47" t="s">
        <v>57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  <c r="M47">
        <v>2015</v>
      </c>
    </row>
    <row r="48" spans="1:13" x14ac:dyDescent="0.3">
      <c r="A48" t="s">
        <v>66</v>
      </c>
      <c r="B48" t="s">
        <v>57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  <c r="M48">
        <v>2015</v>
      </c>
    </row>
    <row r="49" spans="1:13" x14ac:dyDescent="0.3">
      <c r="A49" t="s">
        <v>67</v>
      </c>
      <c r="B49" t="s">
        <v>28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  <c r="M49">
        <v>2015</v>
      </c>
    </row>
    <row r="50" spans="1:13" x14ac:dyDescent="0.3">
      <c r="A50" t="s">
        <v>68</v>
      </c>
      <c r="B50" t="s">
        <v>26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  <c r="M50">
        <v>2015</v>
      </c>
    </row>
    <row r="51" spans="1:13" x14ac:dyDescent="0.3">
      <c r="A51" t="s">
        <v>69</v>
      </c>
      <c r="B51" t="s">
        <v>13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  <c r="M51">
        <v>2015</v>
      </c>
    </row>
    <row r="52" spans="1:13" x14ac:dyDescent="0.3">
      <c r="A52" t="s">
        <v>70</v>
      </c>
      <c r="B52" t="s">
        <v>28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  <c r="M52">
        <v>2015</v>
      </c>
    </row>
    <row r="53" spans="1:13" x14ac:dyDescent="0.3">
      <c r="A53" t="s">
        <v>71</v>
      </c>
      <c r="B53" t="s">
        <v>49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  <c r="M53">
        <v>2015</v>
      </c>
    </row>
    <row r="54" spans="1:13" x14ac:dyDescent="0.3">
      <c r="A54" t="s">
        <v>72</v>
      </c>
      <c r="B54" t="s">
        <v>28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  <c r="M54">
        <v>2015</v>
      </c>
    </row>
    <row r="55" spans="1:13" x14ac:dyDescent="0.3">
      <c r="A55" t="s">
        <v>73</v>
      </c>
      <c r="B55" t="s">
        <v>49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  <c r="M55">
        <v>2015</v>
      </c>
    </row>
    <row r="56" spans="1:13" x14ac:dyDescent="0.3">
      <c r="A56" t="s">
        <v>74</v>
      </c>
      <c r="B56" t="s">
        <v>49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  <c r="M56">
        <v>2015</v>
      </c>
    </row>
    <row r="57" spans="1:13" x14ac:dyDescent="0.3">
      <c r="A57" t="s">
        <v>75</v>
      </c>
      <c r="B57" t="s">
        <v>49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  <c r="M57">
        <v>2015</v>
      </c>
    </row>
    <row r="58" spans="1:13" x14ac:dyDescent="0.3">
      <c r="A58" t="s">
        <v>76</v>
      </c>
      <c r="B58" t="s">
        <v>28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  <c r="M58">
        <v>2015</v>
      </c>
    </row>
    <row r="59" spans="1:13" x14ac:dyDescent="0.3">
      <c r="A59" t="s">
        <v>77</v>
      </c>
      <c r="B59" t="s">
        <v>28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  <c r="M59">
        <v>2015</v>
      </c>
    </row>
    <row r="60" spans="1:13" x14ac:dyDescent="0.3">
      <c r="A60" t="s">
        <v>78</v>
      </c>
      <c r="B60" t="s">
        <v>49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  <c r="M60">
        <v>2015</v>
      </c>
    </row>
    <row r="61" spans="1:13" x14ac:dyDescent="0.3">
      <c r="A61" t="s">
        <v>79</v>
      </c>
      <c r="B61" t="s">
        <v>49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  <c r="M61">
        <v>2015</v>
      </c>
    </row>
    <row r="62" spans="1:13" x14ac:dyDescent="0.3">
      <c r="A62" t="s">
        <v>80</v>
      </c>
      <c r="B62" t="s">
        <v>41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  <c r="M62">
        <v>2015</v>
      </c>
    </row>
    <row r="63" spans="1:13" x14ac:dyDescent="0.3">
      <c r="A63" t="s">
        <v>81</v>
      </c>
      <c r="B63" t="s">
        <v>49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  <c r="M63">
        <v>2015</v>
      </c>
    </row>
    <row r="64" spans="1:13" x14ac:dyDescent="0.3">
      <c r="A64" t="s">
        <v>82</v>
      </c>
      <c r="B64" t="s">
        <v>26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  <c r="M64">
        <v>2015</v>
      </c>
    </row>
    <row r="65" spans="1:13" x14ac:dyDescent="0.3">
      <c r="A65" t="s">
        <v>83</v>
      </c>
      <c r="B65" t="s">
        <v>49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  <c r="M65">
        <v>2015</v>
      </c>
    </row>
    <row r="66" spans="1:13" x14ac:dyDescent="0.3">
      <c r="A66" t="s">
        <v>84</v>
      </c>
      <c r="B66" t="s">
        <v>28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  <c r="M66">
        <v>2015</v>
      </c>
    </row>
    <row r="67" spans="1:13" x14ac:dyDescent="0.3">
      <c r="A67" t="s">
        <v>85</v>
      </c>
      <c r="B67" t="s">
        <v>13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  <c r="M67">
        <v>2015</v>
      </c>
    </row>
    <row r="68" spans="1:13" x14ac:dyDescent="0.3">
      <c r="A68" t="s">
        <v>86</v>
      </c>
      <c r="B68" t="s">
        <v>13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  <c r="M68">
        <v>2015</v>
      </c>
    </row>
    <row r="69" spans="1:13" x14ac:dyDescent="0.3">
      <c r="A69" t="s">
        <v>87</v>
      </c>
      <c r="B69" t="s">
        <v>26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  <c r="M69">
        <v>2015</v>
      </c>
    </row>
    <row r="70" spans="1:13" x14ac:dyDescent="0.3">
      <c r="A70" t="s">
        <v>88</v>
      </c>
      <c r="B70" t="s">
        <v>49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  <c r="M70">
        <v>2015</v>
      </c>
    </row>
    <row r="71" spans="1:13" x14ac:dyDescent="0.3">
      <c r="A71" t="s">
        <v>89</v>
      </c>
      <c r="B71" t="s">
        <v>49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  <c r="M71">
        <v>2015</v>
      </c>
    </row>
    <row r="72" spans="1:13" x14ac:dyDescent="0.3">
      <c r="A72" t="s">
        <v>90</v>
      </c>
      <c r="B72" t="s">
        <v>91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  <c r="M72">
        <v>2015</v>
      </c>
    </row>
    <row r="73" spans="1:13" x14ac:dyDescent="0.3">
      <c r="A73" t="s">
        <v>92</v>
      </c>
      <c r="B73" t="s">
        <v>57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  <c r="M73">
        <v>2015</v>
      </c>
    </row>
    <row r="74" spans="1:13" x14ac:dyDescent="0.3">
      <c r="A74" t="s">
        <v>93</v>
      </c>
      <c r="B74" t="s">
        <v>49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  <c r="M74">
        <v>2015</v>
      </c>
    </row>
    <row r="75" spans="1:13" x14ac:dyDescent="0.3">
      <c r="A75" t="s">
        <v>94</v>
      </c>
      <c r="B75" t="s">
        <v>41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  <c r="M75">
        <v>2015</v>
      </c>
    </row>
    <row r="76" spans="1:13" x14ac:dyDescent="0.3">
      <c r="A76" t="s">
        <v>95</v>
      </c>
      <c r="B76" t="s">
        <v>41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  <c r="M76">
        <v>2015</v>
      </c>
    </row>
    <row r="77" spans="1:13" x14ac:dyDescent="0.3">
      <c r="A77" t="s">
        <v>96</v>
      </c>
      <c r="B77" t="s">
        <v>26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  <c r="M77">
        <v>2015</v>
      </c>
    </row>
    <row r="78" spans="1:13" x14ac:dyDescent="0.3">
      <c r="A78" t="s">
        <v>97</v>
      </c>
      <c r="B78" t="s">
        <v>49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  <c r="M78">
        <v>2015</v>
      </c>
    </row>
    <row r="79" spans="1:13" x14ac:dyDescent="0.3">
      <c r="A79" t="s">
        <v>98</v>
      </c>
      <c r="B79" t="s">
        <v>91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  <c r="M79">
        <v>2015</v>
      </c>
    </row>
    <row r="80" spans="1:13" x14ac:dyDescent="0.3">
      <c r="A80" t="s">
        <v>99</v>
      </c>
      <c r="B80" t="s">
        <v>100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  <c r="M80">
        <v>2015</v>
      </c>
    </row>
    <row r="81" spans="1:13" x14ac:dyDescent="0.3">
      <c r="A81" t="s">
        <v>101</v>
      </c>
      <c r="B81" t="s">
        <v>49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  <c r="M81">
        <v>2015</v>
      </c>
    </row>
    <row r="82" spans="1:13" x14ac:dyDescent="0.3">
      <c r="A82" t="s">
        <v>102</v>
      </c>
      <c r="B82" t="s">
        <v>100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  <c r="M82">
        <v>2015</v>
      </c>
    </row>
    <row r="83" spans="1:13" x14ac:dyDescent="0.3">
      <c r="A83" t="s">
        <v>103</v>
      </c>
      <c r="B83" t="s">
        <v>26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  <c r="M83">
        <v>2015</v>
      </c>
    </row>
    <row r="84" spans="1:13" x14ac:dyDescent="0.3">
      <c r="A84" t="s">
        <v>104</v>
      </c>
      <c r="B84" t="s">
        <v>49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  <c r="M84">
        <v>2015</v>
      </c>
    </row>
    <row r="85" spans="1:13" x14ac:dyDescent="0.3">
      <c r="A85" t="s">
        <v>105</v>
      </c>
      <c r="B85" t="s">
        <v>57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  <c r="M85">
        <v>2015</v>
      </c>
    </row>
    <row r="86" spans="1:13" x14ac:dyDescent="0.3">
      <c r="A86" t="s">
        <v>106</v>
      </c>
      <c r="B86" t="s">
        <v>91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  <c r="M86">
        <v>2015</v>
      </c>
    </row>
    <row r="87" spans="1:13" x14ac:dyDescent="0.3">
      <c r="A87" t="s">
        <v>107</v>
      </c>
      <c r="B87" t="s">
        <v>49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  <c r="M87">
        <v>2015</v>
      </c>
    </row>
    <row r="88" spans="1:13" x14ac:dyDescent="0.3">
      <c r="A88" t="s">
        <v>108</v>
      </c>
      <c r="B88" t="s">
        <v>49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  <c r="M88">
        <v>2015</v>
      </c>
    </row>
    <row r="89" spans="1:13" x14ac:dyDescent="0.3">
      <c r="A89" t="s">
        <v>109</v>
      </c>
      <c r="B89" t="s">
        <v>13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  <c r="M89">
        <v>2015</v>
      </c>
    </row>
    <row r="90" spans="1:13" x14ac:dyDescent="0.3">
      <c r="A90" t="s">
        <v>110</v>
      </c>
      <c r="B90" t="s">
        <v>49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  <c r="M90">
        <v>2015</v>
      </c>
    </row>
    <row r="91" spans="1:13" x14ac:dyDescent="0.3">
      <c r="A91" t="s">
        <v>111</v>
      </c>
      <c r="B91" t="s">
        <v>41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  <c r="M91">
        <v>2015</v>
      </c>
    </row>
    <row r="92" spans="1:13" x14ac:dyDescent="0.3">
      <c r="A92" t="s">
        <v>112</v>
      </c>
      <c r="B92" t="s">
        <v>91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  <c r="M92">
        <v>2015</v>
      </c>
    </row>
    <row r="93" spans="1:13" x14ac:dyDescent="0.3">
      <c r="A93" t="s">
        <v>113</v>
      </c>
      <c r="B93" t="s">
        <v>26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  <c r="M93">
        <v>2015</v>
      </c>
    </row>
    <row r="94" spans="1:13" x14ac:dyDescent="0.3">
      <c r="A94" t="s">
        <v>114</v>
      </c>
      <c r="B94" t="s">
        <v>49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  <c r="M94">
        <v>2015</v>
      </c>
    </row>
    <row r="95" spans="1:13" x14ac:dyDescent="0.3">
      <c r="A95" t="s">
        <v>115</v>
      </c>
      <c r="B95" t="s">
        <v>91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  <c r="M95">
        <v>2015</v>
      </c>
    </row>
    <row r="96" spans="1:13" x14ac:dyDescent="0.3">
      <c r="A96" t="s">
        <v>116</v>
      </c>
      <c r="B96" t="s">
        <v>49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  <c r="M96">
        <v>2015</v>
      </c>
    </row>
    <row r="97" spans="1:13" x14ac:dyDescent="0.3">
      <c r="A97" t="s">
        <v>117</v>
      </c>
      <c r="B97" t="s">
        <v>49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  <c r="M97">
        <v>2015</v>
      </c>
    </row>
    <row r="98" spans="1:13" x14ac:dyDescent="0.3">
      <c r="A98" t="s">
        <v>118</v>
      </c>
      <c r="B98" t="s">
        <v>91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  <c r="M98">
        <v>2015</v>
      </c>
    </row>
    <row r="99" spans="1:13" x14ac:dyDescent="0.3">
      <c r="A99" t="s">
        <v>119</v>
      </c>
      <c r="B99" t="s">
        <v>28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  <c r="M99">
        <v>2015</v>
      </c>
    </row>
    <row r="100" spans="1:13" x14ac:dyDescent="0.3">
      <c r="A100" t="s">
        <v>120</v>
      </c>
      <c r="B100" t="s">
        <v>41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  <c r="M100">
        <v>2015</v>
      </c>
    </row>
    <row r="101" spans="1:13" x14ac:dyDescent="0.3">
      <c r="A101" t="s">
        <v>121</v>
      </c>
      <c r="B101" t="s">
        <v>57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  <c r="M101">
        <v>2015</v>
      </c>
    </row>
    <row r="102" spans="1:13" x14ac:dyDescent="0.3">
      <c r="A102" t="s">
        <v>122</v>
      </c>
      <c r="B102" t="s">
        <v>91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  <c r="M102">
        <v>2015</v>
      </c>
    </row>
    <row r="103" spans="1:13" x14ac:dyDescent="0.3">
      <c r="A103" t="s">
        <v>123</v>
      </c>
      <c r="B103" t="s">
        <v>13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  <c r="M103">
        <v>2015</v>
      </c>
    </row>
    <row r="104" spans="1:13" x14ac:dyDescent="0.3">
      <c r="A104" t="s">
        <v>124</v>
      </c>
      <c r="B104" t="s">
        <v>26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  <c r="M104">
        <v>2015</v>
      </c>
    </row>
    <row r="105" spans="1:13" x14ac:dyDescent="0.3">
      <c r="A105" t="s">
        <v>125</v>
      </c>
      <c r="B105" t="s">
        <v>49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  <c r="M105">
        <v>2015</v>
      </c>
    </row>
    <row r="106" spans="1:13" x14ac:dyDescent="0.3">
      <c r="A106" t="s">
        <v>126</v>
      </c>
      <c r="B106" t="s">
        <v>28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  <c r="M106">
        <v>2015</v>
      </c>
    </row>
    <row r="107" spans="1:13" x14ac:dyDescent="0.3">
      <c r="A107" t="s">
        <v>127</v>
      </c>
      <c r="B107" t="s">
        <v>49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  <c r="M107">
        <v>2015</v>
      </c>
    </row>
    <row r="108" spans="1:13" x14ac:dyDescent="0.3">
      <c r="A108" t="s">
        <v>128</v>
      </c>
      <c r="B108" t="s">
        <v>26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  <c r="M108">
        <v>2015</v>
      </c>
    </row>
    <row r="109" spans="1:13" x14ac:dyDescent="0.3">
      <c r="A109" t="s">
        <v>129</v>
      </c>
      <c r="B109" t="s">
        <v>26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  <c r="M109">
        <v>2015</v>
      </c>
    </row>
    <row r="110" spans="1:13" x14ac:dyDescent="0.3">
      <c r="A110" t="s">
        <v>130</v>
      </c>
      <c r="B110" t="s">
        <v>100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  <c r="M110">
        <v>2015</v>
      </c>
    </row>
    <row r="111" spans="1:13" x14ac:dyDescent="0.3">
      <c r="A111" t="s">
        <v>131</v>
      </c>
      <c r="B111" t="s">
        <v>26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  <c r="M111">
        <v>2015</v>
      </c>
    </row>
    <row r="112" spans="1:13" x14ac:dyDescent="0.3">
      <c r="A112" t="s">
        <v>132</v>
      </c>
      <c r="B112" t="s">
        <v>49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  <c r="M112">
        <v>2015</v>
      </c>
    </row>
    <row r="113" spans="1:13" x14ac:dyDescent="0.3">
      <c r="A113" t="s">
        <v>133</v>
      </c>
      <c r="B113" t="s">
        <v>26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  <c r="M113">
        <v>2015</v>
      </c>
    </row>
    <row r="114" spans="1:13" x14ac:dyDescent="0.3">
      <c r="A114" t="s">
        <v>134</v>
      </c>
      <c r="B114" t="s">
        <v>91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  <c r="M114">
        <v>2015</v>
      </c>
    </row>
    <row r="115" spans="1:13" x14ac:dyDescent="0.3">
      <c r="A115" t="s">
        <v>135</v>
      </c>
      <c r="B115" t="s">
        <v>91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  <c r="M115">
        <v>2015</v>
      </c>
    </row>
    <row r="116" spans="1:13" x14ac:dyDescent="0.3">
      <c r="A116" t="s">
        <v>136</v>
      </c>
      <c r="B116" t="s">
        <v>91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  <c r="M116">
        <v>2015</v>
      </c>
    </row>
    <row r="117" spans="1:13" x14ac:dyDescent="0.3">
      <c r="A117" t="s">
        <v>137</v>
      </c>
      <c r="B117" t="s">
        <v>91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  <c r="M117">
        <v>2015</v>
      </c>
    </row>
    <row r="118" spans="1:13" x14ac:dyDescent="0.3">
      <c r="A118" t="s">
        <v>138</v>
      </c>
      <c r="B118" t="s">
        <v>100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  <c r="M118">
        <v>2015</v>
      </c>
    </row>
    <row r="119" spans="1:13" x14ac:dyDescent="0.3">
      <c r="A119" t="s">
        <v>139</v>
      </c>
      <c r="B119" t="s">
        <v>91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  <c r="M119">
        <v>2015</v>
      </c>
    </row>
    <row r="120" spans="1:13" x14ac:dyDescent="0.3">
      <c r="A120" t="s">
        <v>140</v>
      </c>
      <c r="B120" t="s">
        <v>28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  <c r="M120">
        <v>2015</v>
      </c>
    </row>
    <row r="121" spans="1:13" x14ac:dyDescent="0.3">
      <c r="A121" t="s">
        <v>141</v>
      </c>
      <c r="B121" t="s">
        <v>91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  <c r="M121">
        <v>2015</v>
      </c>
    </row>
    <row r="122" spans="1:13" x14ac:dyDescent="0.3">
      <c r="A122" t="s">
        <v>142</v>
      </c>
      <c r="B122" t="s">
        <v>100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  <c r="M122">
        <v>2015</v>
      </c>
    </row>
    <row r="123" spans="1:13" x14ac:dyDescent="0.3">
      <c r="A123" t="s">
        <v>143</v>
      </c>
      <c r="B123" t="s">
        <v>91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  <c r="M123">
        <v>2015</v>
      </c>
    </row>
    <row r="124" spans="1:13" x14ac:dyDescent="0.3">
      <c r="A124" t="s">
        <v>144</v>
      </c>
      <c r="B124" t="s">
        <v>91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  <c r="M124">
        <v>2015</v>
      </c>
    </row>
    <row r="125" spans="1:13" x14ac:dyDescent="0.3">
      <c r="A125" t="s">
        <v>145</v>
      </c>
      <c r="B125" t="s">
        <v>91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  <c r="M125">
        <v>2015</v>
      </c>
    </row>
    <row r="126" spans="1:13" x14ac:dyDescent="0.3">
      <c r="A126" t="s">
        <v>146</v>
      </c>
      <c r="B126" t="s">
        <v>91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  <c r="M126">
        <v>2015</v>
      </c>
    </row>
    <row r="127" spans="1:13" x14ac:dyDescent="0.3">
      <c r="A127" t="s">
        <v>147</v>
      </c>
      <c r="B127" t="s">
        <v>91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  <c r="M127">
        <v>2015</v>
      </c>
    </row>
    <row r="128" spans="1:13" x14ac:dyDescent="0.3">
      <c r="A128" t="s">
        <v>148</v>
      </c>
      <c r="B128" t="s">
        <v>49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  <c r="M128">
        <v>2015</v>
      </c>
    </row>
    <row r="129" spans="1:13" x14ac:dyDescent="0.3">
      <c r="A129" t="s">
        <v>149</v>
      </c>
      <c r="B129" t="s">
        <v>91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  <c r="M129">
        <v>2015</v>
      </c>
    </row>
    <row r="130" spans="1:13" x14ac:dyDescent="0.3">
      <c r="A130" t="s">
        <v>150</v>
      </c>
      <c r="B130" t="s">
        <v>41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  <c r="M130">
        <v>2015</v>
      </c>
    </row>
    <row r="131" spans="1:13" x14ac:dyDescent="0.3">
      <c r="A131" t="s">
        <v>151</v>
      </c>
      <c r="B131" t="s">
        <v>49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  <c r="M131">
        <v>2015</v>
      </c>
    </row>
    <row r="132" spans="1:13" x14ac:dyDescent="0.3">
      <c r="A132" t="s">
        <v>152</v>
      </c>
      <c r="B132" t="s">
        <v>91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  <c r="M132">
        <v>2015</v>
      </c>
    </row>
    <row r="133" spans="1:13" x14ac:dyDescent="0.3">
      <c r="A133" t="s">
        <v>153</v>
      </c>
      <c r="B133" t="s">
        <v>100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  <c r="M133">
        <v>2015</v>
      </c>
    </row>
    <row r="134" spans="1:13" x14ac:dyDescent="0.3">
      <c r="A134" t="s">
        <v>154</v>
      </c>
      <c r="B134" t="s">
        <v>91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  <c r="M134">
        <v>2015</v>
      </c>
    </row>
    <row r="135" spans="1:13" x14ac:dyDescent="0.3">
      <c r="A135" t="s">
        <v>155</v>
      </c>
      <c r="B135" t="s">
        <v>49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  <c r="M135">
        <v>2015</v>
      </c>
    </row>
    <row r="136" spans="1:13" x14ac:dyDescent="0.3">
      <c r="A136" t="s">
        <v>156</v>
      </c>
      <c r="B136" t="s">
        <v>26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  <c r="M136">
        <v>2015</v>
      </c>
    </row>
    <row r="137" spans="1:13" x14ac:dyDescent="0.3">
      <c r="A137" t="s">
        <v>157</v>
      </c>
      <c r="B137" t="s">
        <v>26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  <c r="M137">
        <v>2015</v>
      </c>
    </row>
    <row r="138" spans="1:13" x14ac:dyDescent="0.3">
      <c r="A138" t="s">
        <v>158</v>
      </c>
      <c r="B138" t="s">
        <v>91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  <c r="M138">
        <v>2015</v>
      </c>
    </row>
    <row r="139" spans="1:13" x14ac:dyDescent="0.3">
      <c r="A139" t="s">
        <v>159</v>
      </c>
      <c r="B139" t="s">
        <v>91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  <c r="M139">
        <v>2015</v>
      </c>
    </row>
    <row r="140" spans="1:13" x14ac:dyDescent="0.3">
      <c r="A140" t="s">
        <v>160</v>
      </c>
      <c r="B140" t="s">
        <v>91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  <c r="M140">
        <v>2015</v>
      </c>
    </row>
    <row r="141" spans="1:13" x14ac:dyDescent="0.3">
      <c r="A141" t="s">
        <v>161</v>
      </c>
      <c r="B141" t="s">
        <v>91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  <c r="M141">
        <v>2015</v>
      </c>
    </row>
    <row r="142" spans="1:13" x14ac:dyDescent="0.3">
      <c r="A142" t="s">
        <v>162</v>
      </c>
      <c r="B142" t="s">
        <v>91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  <c r="M142">
        <v>2015</v>
      </c>
    </row>
    <row r="143" spans="1:13" x14ac:dyDescent="0.3">
      <c r="A143" t="s">
        <v>163</v>
      </c>
      <c r="B143" t="s">
        <v>91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  <c r="M143">
        <v>2015</v>
      </c>
    </row>
    <row r="144" spans="1:13" x14ac:dyDescent="0.3">
      <c r="A144" t="s">
        <v>164</v>
      </c>
      <c r="B144" t="s">
        <v>91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  <c r="M144">
        <v>2015</v>
      </c>
    </row>
    <row r="145" spans="1:13" x14ac:dyDescent="0.3">
      <c r="A145" t="s">
        <v>165</v>
      </c>
      <c r="B145" t="s">
        <v>91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  <c r="M145">
        <v>2015</v>
      </c>
    </row>
    <row r="146" spans="1:13" x14ac:dyDescent="0.3">
      <c r="A146" t="s">
        <v>166</v>
      </c>
      <c r="B146" t="s">
        <v>41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  <c r="M146">
        <v>2015</v>
      </c>
    </row>
    <row r="147" spans="1:13" x14ac:dyDescent="0.3">
      <c r="A147" t="s">
        <v>167</v>
      </c>
      <c r="B147" t="s">
        <v>91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  <c r="M147">
        <v>2015</v>
      </c>
    </row>
    <row r="148" spans="1:13" x14ac:dyDescent="0.3">
      <c r="A148" t="s">
        <v>168</v>
      </c>
      <c r="B148" t="s">
        <v>91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  <c r="M148">
        <v>2015</v>
      </c>
    </row>
    <row r="149" spans="1:13" x14ac:dyDescent="0.3">
      <c r="A149" t="s">
        <v>169</v>
      </c>
      <c r="B149" t="s">
        <v>91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  <c r="M149">
        <v>2015</v>
      </c>
    </row>
    <row r="150" spans="1:13" x14ac:dyDescent="0.3">
      <c r="A150" t="s">
        <v>170</v>
      </c>
      <c r="B150" t="s">
        <v>91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  <c r="M150">
        <v>2015</v>
      </c>
    </row>
    <row r="151" spans="1:13" x14ac:dyDescent="0.3">
      <c r="A151" t="s">
        <v>171</v>
      </c>
      <c r="B151" t="s">
        <v>91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  <c r="M151">
        <v>2015</v>
      </c>
    </row>
    <row r="152" spans="1:13" x14ac:dyDescent="0.3">
      <c r="A152" t="s">
        <v>172</v>
      </c>
      <c r="B152" t="s">
        <v>91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  <c r="M152">
        <v>2015</v>
      </c>
    </row>
    <row r="153" spans="1:13" x14ac:dyDescent="0.3">
      <c r="A153" t="s">
        <v>173</v>
      </c>
      <c r="B153" t="s">
        <v>91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  <c r="M153">
        <v>2015</v>
      </c>
    </row>
    <row r="154" spans="1:13" x14ac:dyDescent="0.3">
      <c r="A154" t="s">
        <v>174</v>
      </c>
      <c r="B154" t="s">
        <v>100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  <c r="M154">
        <v>2015</v>
      </c>
    </row>
    <row r="155" spans="1:13" x14ac:dyDescent="0.3">
      <c r="A155" t="s">
        <v>175</v>
      </c>
      <c r="B155" t="s">
        <v>91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  <c r="M155">
        <v>2015</v>
      </c>
    </row>
    <row r="156" spans="1:13" x14ac:dyDescent="0.3">
      <c r="A156" t="s">
        <v>176</v>
      </c>
      <c r="B156" t="s">
        <v>91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  <c r="M156">
        <v>2015</v>
      </c>
    </row>
    <row r="157" spans="1:13" x14ac:dyDescent="0.3">
      <c r="A157" t="s">
        <v>177</v>
      </c>
      <c r="B157" t="s">
        <v>26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  <c r="M157">
        <v>2015</v>
      </c>
    </row>
    <row r="158" spans="1:13" x14ac:dyDescent="0.3">
      <c r="A158" t="s">
        <v>178</v>
      </c>
      <c r="B158" t="s">
        <v>91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  <c r="M158">
        <v>2015</v>
      </c>
    </row>
    <row r="159" spans="1:13" x14ac:dyDescent="0.3">
      <c r="A159" t="s">
        <v>179</v>
      </c>
      <c r="B159" t="s">
        <v>91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  <c r="M159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6361-5972-41FD-872F-5336E7D24046}">
  <dimension ref="A1:N158"/>
  <sheetViews>
    <sheetView topLeftCell="A66" workbookViewId="0">
      <selection activeCell="B88" sqref="B88"/>
    </sheetView>
  </sheetViews>
  <sheetFormatPr defaultRowHeight="14.4" x14ac:dyDescent="0.3"/>
  <cols>
    <col min="1" max="1" width="20.21875" bestFit="1" customWidth="1"/>
    <col min="2" max="2" width="26.5546875" bestFit="1" customWidth="1"/>
    <col min="3" max="3" width="16.6640625" bestFit="1" customWidth="1"/>
    <col min="4" max="4" width="17.33203125" bestFit="1" customWidth="1"/>
    <col min="5" max="5" width="24.88671875" bestFit="1" customWidth="1"/>
    <col min="6" max="6" width="25.109375" bestFit="1" customWidth="1"/>
    <col min="7" max="7" width="25.44140625" bestFit="1" customWidth="1"/>
    <col min="9" max="9" width="23.6640625" bestFit="1" customWidth="1"/>
    <col min="10" max="10" width="10.6640625" bestFit="1" customWidth="1"/>
    <col min="11" max="11" width="28.88671875" bestFit="1" customWidth="1"/>
    <col min="12" max="12" width="12.21875" bestFit="1" customWidth="1"/>
    <col min="13" max="13" width="18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180</v>
      </c>
      <c r="F1" t="s">
        <v>181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321</v>
      </c>
    </row>
    <row r="2" spans="1:14" x14ac:dyDescent="0.3">
      <c r="A2" s="1" t="s">
        <v>15</v>
      </c>
      <c r="B2" s="1" t="s">
        <v>13</v>
      </c>
      <c r="C2">
        <v>1</v>
      </c>
      <c r="D2">
        <v>7.5259999999999998</v>
      </c>
      <c r="E2">
        <v>7.46</v>
      </c>
      <c r="F2">
        <v>7.5919999999999996</v>
      </c>
      <c r="G2">
        <v>1.4417800000000001</v>
      </c>
      <c r="H2">
        <v>1.16374</v>
      </c>
      <c r="I2">
        <v>0.79503999999999997</v>
      </c>
      <c r="J2">
        <v>0.57940999999999998</v>
      </c>
      <c r="K2">
        <v>0.44452999999999998</v>
      </c>
      <c r="L2">
        <v>0.36170999999999998</v>
      </c>
      <c r="M2">
        <v>2.7393900000000002</v>
      </c>
      <c r="N2">
        <v>2016</v>
      </c>
    </row>
    <row r="3" spans="1:14" x14ac:dyDescent="0.3">
      <c r="A3" s="1" t="s">
        <v>12</v>
      </c>
      <c r="B3" s="1" t="s">
        <v>13</v>
      </c>
      <c r="C3">
        <v>2</v>
      </c>
      <c r="D3">
        <v>7.5090000000000003</v>
      </c>
      <c r="E3">
        <v>7.4279999999999999</v>
      </c>
      <c r="F3">
        <v>7.59</v>
      </c>
      <c r="G3">
        <v>1.5273300000000001</v>
      </c>
      <c r="H3">
        <v>1.14524</v>
      </c>
      <c r="I3">
        <v>0.86302999999999996</v>
      </c>
      <c r="J3">
        <v>0.58557000000000003</v>
      </c>
      <c r="K3">
        <v>0.41203000000000001</v>
      </c>
      <c r="L3">
        <v>0.28083000000000002</v>
      </c>
      <c r="M3">
        <v>2.6946300000000001</v>
      </c>
      <c r="N3">
        <v>2016</v>
      </c>
    </row>
    <row r="4" spans="1:14" x14ac:dyDescent="0.3">
      <c r="A4" s="1" t="s">
        <v>14</v>
      </c>
      <c r="B4" s="1" t="s">
        <v>13</v>
      </c>
      <c r="C4">
        <v>3</v>
      </c>
      <c r="D4">
        <v>7.5010000000000003</v>
      </c>
      <c r="E4">
        <v>7.3330000000000002</v>
      </c>
      <c r="F4">
        <v>7.6689999999999996</v>
      </c>
      <c r="G4">
        <v>1.42666</v>
      </c>
      <c r="H4">
        <v>1.18326</v>
      </c>
      <c r="I4">
        <v>0.86733000000000005</v>
      </c>
      <c r="J4">
        <v>0.56623999999999997</v>
      </c>
      <c r="K4">
        <v>0.14974999999999999</v>
      </c>
      <c r="L4">
        <v>0.47677999999999998</v>
      </c>
      <c r="M4">
        <v>2.8313700000000002</v>
      </c>
      <c r="N4">
        <v>2016</v>
      </c>
    </row>
    <row r="5" spans="1:14" x14ac:dyDescent="0.3">
      <c r="A5" s="1" t="s">
        <v>16</v>
      </c>
      <c r="B5" s="1" t="s">
        <v>13</v>
      </c>
      <c r="C5">
        <v>4</v>
      </c>
      <c r="D5">
        <v>7.4980000000000002</v>
      </c>
      <c r="E5">
        <v>7.4210000000000003</v>
      </c>
      <c r="F5">
        <v>7.5750000000000002</v>
      </c>
      <c r="G5">
        <v>1.57744</v>
      </c>
      <c r="H5">
        <v>1.1269</v>
      </c>
      <c r="I5">
        <v>0.79579</v>
      </c>
      <c r="J5">
        <v>0.59609000000000001</v>
      </c>
      <c r="K5">
        <v>0.35776000000000002</v>
      </c>
      <c r="L5">
        <v>0.37895000000000001</v>
      </c>
      <c r="M5">
        <v>2.66465</v>
      </c>
      <c r="N5">
        <v>2016</v>
      </c>
    </row>
    <row r="6" spans="1:14" x14ac:dyDescent="0.3">
      <c r="A6" s="1" t="s">
        <v>19</v>
      </c>
      <c r="B6" s="1" t="s">
        <v>13</v>
      </c>
      <c r="C6">
        <v>5</v>
      </c>
      <c r="D6">
        <v>7.4130000000000003</v>
      </c>
      <c r="E6">
        <v>7.351</v>
      </c>
      <c r="F6">
        <v>7.4749999999999996</v>
      </c>
      <c r="G6">
        <v>1.40598</v>
      </c>
      <c r="H6">
        <v>1.1346400000000001</v>
      </c>
      <c r="I6">
        <v>0.81091000000000002</v>
      </c>
      <c r="J6">
        <v>0.57103999999999999</v>
      </c>
      <c r="K6">
        <v>0.41004000000000002</v>
      </c>
      <c r="L6">
        <v>0.25491999999999998</v>
      </c>
      <c r="M6">
        <v>2.8259599999999998</v>
      </c>
      <c r="N6">
        <v>2016</v>
      </c>
    </row>
    <row r="7" spans="1:14" x14ac:dyDescent="0.3">
      <c r="A7" s="1" t="s">
        <v>17</v>
      </c>
      <c r="B7" s="1" t="s">
        <v>18</v>
      </c>
      <c r="C7">
        <v>6</v>
      </c>
      <c r="D7">
        <v>7.4039999999999999</v>
      </c>
      <c r="E7">
        <v>7.335</v>
      </c>
      <c r="F7">
        <v>7.4729999999999999</v>
      </c>
      <c r="G7">
        <v>1.44015</v>
      </c>
      <c r="H7">
        <v>1.0961000000000001</v>
      </c>
      <c r="I7">
        <v>0.8276</v>
      </c>
      <c r="J7">
        <v>0.57369999999999999</v>
      </c>
      <c r="K7">
        <v>0.31329000000000001</v>
      </c>
      <c r="L7">
        <v>0.44834000000000002</v>
      </c>
      <c r="M7">
        <v>2.70485</v>
      </c>
      <c r="N7">
        <v>2016</v>
      </c>
    </row>
    <row r="8" spans="1:14" x14ac:dyDescent="0.3">
      <c r="A8" s="1" t="s">
        <v>20</v>
      </c>
      <c r="B8" s="1" t="s">
        <v>13</v>
      </c>
      <c r="C8">
        <v>7</v>
      </c>
      <c r="D8">
        <v>7.3390000000000004</v>
      </c>
      <c r="E8">
        <v>7.2839999999999998</v>
      </c>
      <c r="F8">
        <v>7.3940000000000001</v>
      </c>
      <c r="G8">
        <v>1.46468</v>
      </c>
      <c r="H8">
        <v>1.02912</v>
      </c>
      <c r="I8">
        <v>0.81230999999999998</v>
      </c>
      <c r="J8">
        <v>0.55210999999999999</v>
      </c>
      <c r="K8">
        <v>0.29926999999999998</v>
      </c>
      <c r="L8">
        <v>0.47416000000000003</v>
      </c>
      <c r="M8">
        <v>2.70749</v>
      </c>
      <c r="N8">
        <v>2016</v>
      </c>
    </row>
    <row r="9" spans="1:14" x14ac:dyDescent="0.3">
      <c r="A9" s="1" t="s">
        <v>22</v>
      </c>
      <c r="B9" s="1" t="s">
        <v>23</v>
      </c>
      <c r="C9">
        <v>8</v>
      </c>
      <c r="D9">
        <v>7.3339999999999996</v>
      </c>
      <c r="E9">
        <v>7.2640000000000002</v>
      </c>
      <c r="F9">
        <v>7.4039999999999999</v>
      </c>
      <c r="G9">
        <v>1.36066</v>
      </c>
      <c r="H9">
        <v>1.1727799999999999</v>
      </c>
      <c r="I9">
        <v>0.83096000000000003</v>
      </c>
      <c r="J9">
        <v>0.58147000000000004</v>
      </c>
      <c r="K9">
        <v>0.41904000000000002</v>
      </c>
      <c r="L9">
        <v>0.49401</v>
      </c>
      <c r="M9">
        <v>2.47553</v>
      </c>
      <c r="N9">
        <v>2016</v>
      </c>
    </row>
    <row r="10" spans="1:14" x14ac:dyDescent="0.3">
      <c r="A10" s="1" t="s">
        <v>24</v>
      </c>
      <c r="B10" s="1" t="s">
        <v>23</v>
      </c>
      <c r="C10">
        <v>9</v>
      </c>
      <c r="D10">
        <v>7.3129999999999997</v>
      </c>
      <c r="E10">
        <v>7.2409999999999997</v>
      </c>
      <c r="F10">
        <v>7.3849999999999998</v>
      </c>
      <c r="G10">
        <v>1.4444300000000001</v>
      </c>
      <c r="H10">
        <v>1.10476</v>
      </c>
      <c r="I10">
        <v>0.85119999999999996</v>
      </c>
      <c r="J10">
        <v>0.56837000000000004</v>
      </c>
      <c r="K10">
        <v>0.32330999999999999</v>
      </c>
      <c r="L10">
        <v>0.47406999999999999</v>
      </c>
      <c r="M10">
        <v>2.5465</v>
      </c>
      <c r="N10">
        <v>2016</v>
      </c>
    </row>
    <row r="11" spans="1:14" x14ac:dyDescent="0.3">
      <c r="A11" s="1" t="s">
        <v>21</v>
      </c>
      <c r="B11" s="1" t="s">
        <v>13</v>
      </c>
      <c r="C11">
        <v>10</v>
      </c>
      <c r="D11">
        <v>7.2910000000000004</v>
      </c>
      <c r="E11">
        <v>7.2270000000000003</v>
      </c>
      <c r="F11">
        <v>7.3550000000000004</v>
      </c>
      <c r="G11">
        <v>1.45181</v>
      </c>
      <c r="H11">
        <v>1.0876399999999999</v>
      </c>
      <c r="I11">
        <v>0.83121</v>
      </c>
      <c r="J11">
        <v>0.58218000000000003</v>
      </c>
      <c r="K11">
        <v>0.40866999999999998</v>
      </c>
      <c r="L11">
        <v>0.38253999999999999</v>
      </c>
      <c r="M11">
        <v>2.5473400000000002</v>
      </c>
      <c r="N11">
        <v>2016</v>
      </c>
    </row>
    <row r="12" spans="1:14" x14ac:dyDescent="0.3">
      <c r="A12" s="1" t="s">
        <v>25</v>
      </c>
      <c r="B12" s="1" t="s">
        <v>26</v>
      </c>
      <c r="C12">
        <v>11</v>
      </c>
      <c r="D12">
        <v>7.2670000000000003</v>
      </c>
      <c r="E12">
        <v>7.1989999999999998</v>
      </c>
      <c r="F12">
        <v>7.335</v>
      </c>
      <c r="G12">
        <v>1.3376600000000001</v>
      </c>
      <c r="H12">
        <v>0.99536999999999998</v>
      </c>
      <c r="I12">
        <v>0.84916999999999998</v>
      </c>
      <c r="J12">
        <v>0.36431999999999998</v>
      </c>
      <c r="K12">
        <v>8.7279999999999996E-2</v>
      </c>
      <c r="L12">
        <v>0.32288</v>
      </c>
      <c r="M12">
        <v>3.3102900000000002</v>
      </c>
      <c r="N12">
        <v>2016</v>
      </c>
    </row>
    <row r="13" spans="1:14" x14ac:dyDescent="0.3">
      <c r="A13" s="1" t="s">
        <v>29</v>
      </c>
      <c r="B13" s="1" t="s">
        <v>13</v>
      </c>
      <c r="C13">
        <v>12</v>
      </c>
      <c r="D13">
        <v>7.1189999999999998</v>
      </c>
      <c r="E13">
        <v>7.0449999999999999</v>
      </c>
      <c r="F13">
        <v>7.1929999999999996</v>
      </c>
      <c r="G13">
        <v>1.45038</v>
      </c>
      <c r="H13">
        <v>1.0838300000000001</v>
      </c>
      <c r="I13">
        <v>0.80564999999999998</v>
      </c>
      <c r="J13">
        <v>0.54354999999999998</v>
      </c>
      <c r="K13">
        <v>0.21348</v>
      </c>
      <c r="L13">
        <v>0.32865</v>
      </c>
      <c r="M13">
        <v>2.6934300000000002</v>
      </c>
      <c r="N13">
        <v>2016</v>
      </c>
    </row>
    <row r="14" spans="1:14" x14ac:dyDescent="0.3">
      <c r="A14" s="1" t="s">
        <v>31</v>
      </c>
      <c r="B14" s="1" t="s">
        <v>18</v>
      </c>
      <c r="C14">
        <v>13</v>
      </c>
      <c r="D14">
        <v>7.1040000000000001</v>
      </c>
      <c r="E14">
        <v>7.02</v>
      </c>
      <c r="F14">
        <v>7.1879999999999997</v>
      </c>
      <c r="G14">
        <v>1.50796</v>
      </c>
      <c r="H14">
        <v>1.04782</v>
      </c>
      <c r="I14">
        <v>0.77900000000000003</v>
      </c>
      <c r="J14">
        <v>0.48163</v>
      </c>
      <c r="K14">
        <v>0.14868000000000001</v>
      </c>
      <c r="L14">
        <v>0.41077000000000002</v>
      </c>
      <c r="M14">
        <v>2.7278199999999999</v>
      </c>
      <c r="N14">
        <v>2016</v>
      </c>
    </row>
    <row r="15" spans="1:14" x14ac:dyDescent="0.3">
      <c r="A15" s="1" t="s">
        <v>27</v>
      </c>
      <c r="B15" s="1" t="s">
        <v>28</v>
      </c>
      <c r="C15">
        <v>14</v>
      </c>
      <c r="D15">
        <v>7.0869999999999997</v>
      </c>
      <c r="E15">
        <v>6.9989999999999997</v>
      </c>
      <c r="F15">
        <v>7.1749999999999998</v>
      </c>
      <c r="G15">
        <v>1.0687899999999999</v>
      </c>
      <c r="H15">
        <v>1.02152</v>
      </c>
      <c r="I15">
        <v>0.76146000000000003</v>
      </c>
      <c r="J15">
        <v>0.55225000000000002</v>
      </c>
      <c r="K15">
        <v>0.10546999999999999</v>
      </c>
      <c r="L15">
        <v>0.22553000000000001</v>
      </c>
      <c r="M15">
        <v>3.35168</v>
      </c>
      <c r="N15">
        <v>2016</v>
      </c>
    </row>
    <row r="16" spans="1:14" x14ac:dyDescent="0.3">
      <c r="A16" s="1" t="s">
        <v>182</v>
      </c>
      <c r="B16" s="1" t="s">
        <v>28</v>
      </c>
      <c r="C16">
        <v>15</v>
      </c>
      <c r="D16">
        <v>7.0389999999999997</v>
      </c>
      <c r="E16">
        <v>6.7939999999999996</v>
      </c>
      <c r="F16">
        <v>7.2839999999999998</v>
      </c>
      <c r="G16">
        <v>1.3594299999999999</v>
      </c>
      <c r="H16">
        <v>1.0811299999999999</v>
      </c>
      <c r="I16">
        <v>0.77758000000000005</v>
      </c>
      <c r="J16">
        <v>0.46822999999999998</v>
      </c>
      <c r="K16">
        <v>0.12275</v>
      </c>
      <c r="L16">
        <v>0.22202</v>
      </c>
      <c r="M16">
        <v>3.0076000000000001</v>
      </c>
      <c r="N16">
        <v>2016</v>
      </c>
    </row>
    <row r="17" spans="1:14" x14ac:dyDescent="0.3">
      <c r="A17" s="1" t="s">
        <v>43</v>
      </c>
      <c r="B17" s="1" t="s">
        <v>13</v>
      </c>
      <c r="C17">
        <v>16</v>
      </c>
      <c r="D17">
        <v>6.9939999999999998</v>
      </c>
      <c r="E17">
        <v>6.93</v>
      </c>
      <c r="F17">
        <v>7.0579999999999998</v>
      </c>
      <c r="G17">
        <v>1.44787</v>
      </c>
      <c r="H17">
        <v>1.0977399999999999</v>
      </c>
      <c r="I17">
        <v>0.81486999999999998</v>
      </c>
      <c r="J17">
        <v>0.53466000000000002</v>
      </c>
      <c r="K17">
        <v>0.28550999999999999</v>
      </c>
      <c r="L17">
        <v>0.30452000000000001</v>
      </c>
      <c r="M17">
        <v>2.5093100000000002</v>
      </c>
      <c r="N17">
        <v>2016</v>
      </c>
    </row>
    <row r="18" spans="1:14" x14ac:dyDescent="0.3">
      <c r="A18" s="1" t="s">
        <v>32</v>
      </c>
      <c r="B18" s="1" t="s">
        <v>28</v>
      </c>
      <c r="C18">
        <v>17</v>
      </c>
      <c r="D18">
        <v>6.952</v>
      </c>
      <c r="E18">
        <v>6.875</v>
      </c>
      <c r="F18">
        <v>7.0289999999999999</v>
      </c>
      <c r="G18">
        <v>1.08754</v>
      </c>
      <c r="H18">
        <v>1.03938</v>
      </c>
      <c r="I18">
        <v>0.61414999999999997</v>
      </c>
      <c r="J18">
        <v>0.40425</v>
      </c>
      <c r="K18">
        <v>0.14166000000000001</v>
      </c>
      <c r="L18">
        <v>0.15776000000000001</v>
      </c>
      <c r="M18">
        <v>3.5073300000000001</v>
      </c>
      <c r="N18">
        <v>2016</v>
      </c>
    </row>
    <row r="19" spans="1:14" x14ac:dyDescent="0.3">
      <c r="A19" s="1" t="s">
        <v>35</v>
      </c>
      <c r="B19" s="1" t="s">
        <v>13</v>
      </c>
      <c r="C19">
        <v>18</v>
      </c>
      <c r="D19">
        <v>6.9290000000000003</v>
      </c>
      <c r="E19">
        <v>6.8609999999999998</v>
      </c>
      <c r="F19">
        <v>6.9969999999999999</v>
      </c>
      <c r="G19">
        <v>1.4253899999999999</v>
      </c>
      <c r="H19">
        <v>1.0524899999999999</v>
      </c>
      <c r="I19">
        <v>0.81959000000000004</v>
      </c>
      <c r="J19">
        <v>0.51354</v>
      </c>
      <c r="K19">
        <v>0.26247999999999999</v>
      </c>
      <c r="L19">
        <v>0.2424</v>
      </c>
      <c r="M19">
        <v>2.61355</v>
      </c>
      <c r="N19">
        <v>2016</v>
      </c>
    </row>
    <row r="20" spans="1:14" x14ac:dyDescent="0.3">
      <c r="A20" s="1" t="s">
        <v>34</v>
      </c>
      <c r="B20" s="1" t="s">
        <v>13</v>
      </c>
      <c r="C20">
        <v>19</v>
      </c>
      <c r="D20">
        <v>6.907</v>
      </c>
      <c r="E20">
        <v>6.8360000000000003</v>
      </c>
      <c r="F20">
        <v>6.9779999999999998</v>
      </c>
      <c r="G20">
        <v>1.4834099999999999</v>
      </c>
      <c r="H20">
        <v>1.16157</v>
      </c>
      <c r="I20">
        <v>0.81455</v>
      </c>
      <c r="J20">
        <v>0.54008</v>
      </c>
      <c r="K20">
        <v>0.29754000000000003</v>
      </c>
      <c r="L20">
        <v>0.44962999999999997</v>
      </c>
      <c r="M20">
        <v>2.1598799999999998</v>
      </c>
      <c r="N20">
        <v>2016</v>
      </c>
    </row>
    <row r="21" spans="1:14" x14ac:dyDescent="0.3">
      <c r="A21" s="1" t="s">
        <v>33</v>
      </c>
      <c r="B21" s="1" t="s">
        <v>13</v>
      </c>
      <c r="C21">
        <v>20</v>
      </c>
      <c r="D21">
        <v>6.8710000000000004</v>
      </c>
      <c r="E21">
        <v>6.8040000000000003</v>
      </c>
      <c r="F21">
        <v>6.9379999999999997</v>
      </c>
      <c r="G21">
        <v>1.6975199999999999</v>
      </c>
      <c r="H21">
        <v>1.03999</v>
      </c>
      <c r="I21">
        <v>0.84541999999999995</v>
      </c>
      <c r="J21">
        <v>0.54869999999999997</v>
      </c>
      <c r="K21">
        <v>0.35328999999999999</v>
      </c>
      <c r="L21">
        <v>0.27571000000000001</v>
      </c>
      <c r="M21">
        <v>2.1105499999999999</v>
      </c>
      <c r="N21">
        <v>2016</v>
      </c>
    </row>
    <row r="22" spans="1:14" x14ac:dyDescent="0.3">
      <c r="A22" s="1" t="s">
        <v>30</v>
      </c>
      <c r="B22" s="1" t="s">
        <v>28</v>
      </c>
      <c r="C22">
        <v>21</v>
      </c>
      <c r="D22">
        <v>6.7779999999999996</v>
      </c>
      <c r="E22">
        <v>6.68</v>
      </c>
      <c r="F22">
        <v>6.8760000000000003</v>
      </c>
      <c r="G22">
        <v>1.1150800000000001</v>
      </c>
      <c r="H22">
        <v>0.71460000000000001</v>
      </c>
      <c r="I22">
        <v>0.71143000000000001</v>
      </c>
      <c r="J22">
        <v>0.37708999999999998</v>
      </c>
      <c r="K22">
        <v>0.18354999999999999</v>
      </c>
      <c r="L22">
        <v>0.11735</v>
      </c>
      <c r="M22">
        <v>3.5590600000000001</v>
      </c>
      <c r="N22">
        <v>2016</v>
      </c>
    </row>
    <row r="23" spans="1:14" x14ac:dyDescent="0.3">
      <c r="A23" s="1" t="s">
        <v>40</v>
      </c>
      <c r="B23" s="1" t="s">
        <v>41</v>
      </c>
      <c r="C23">
        <v>22</v>
      </c>
      <c r="D23">
        <v>6.7389999999999999</v>
      </c>
      <c r="E23">
        <v>6.6740000000000004</v>
      </c>
      <c r="F23">
        <v>6.8040000000000003</v>
      </c>
      <c r="G23">
        <v>1.6455500000000001</v>
      </c>
      <c r="H23">
        <v>0.86758000000000002</v>
      </c>
      <c r="I23">
        <v>0.94718999999999998</v>
      </c>
      <c r="J23">
        <v>0.48770000000000002</v>
      </c>
      <c r="K23">
        <v>0.46987000000000001</v>
      </c>
      <c r="L23">
        <v>0.32706000000000002</v>
      </c>
      <c r="M23">
        <v>1.9937499999999999</v>
      </c>
      <c r="N23">
        <v>2016</v>
      </c>
    </row>
    <row r="24" spans="1:14" x14ac:dyDescent="0.3">
      <c r="A24" s="1" t="s">
        <v>37</v>
      </c>
      <c r="B24" s="1" t="s">
        <v>13</v>
      </c>
      <c r="C24">
        <v>23</v>
      </c>
      <c r="D24">
        <v>6.7249999999999996</v>
      </c>
      <c r="E24">
        <v>6.6470000000000002</v>
      </c>
      <c r="F24">
        <v>6.8029999999999999</v>
      </c>
      <c r="G24">
        <v>1.40283</v>
      </c>
      <c r="H24">
        <v>1.0867199999999999</v>
      </c>
      <c r="I24">
        <v>0.80991000000000002</v>
      </c>
      <c r="J24">
        <v>0.50036000000000003</v>
      </c>
      <c r="K24">
        <v>0.27399000000000001</v>
      </c>
      <c r="L24">
        <v>0.50156000000000001</v>
      </c>
      <c r="M24">
        <v>2.1499899999999998</v>
      </c>
      <c r="N24">
        <v>2016</v>
      </c>
    </row>
    <row r="25" spans="1:14" x14ac:dyDescent="0.3">
      <c r="A25" s="1" t="s">
        <v>44</v>
      </c>
      <c r="B25" s="1" t="s">
        <v>28</v>
      </c>
      <c r="C25">
        <v>24</v>
      </c>
      <c r="D25">
        <v>6.7050000000000001</v>
      </c>
      <c r="E25">
        <v>6.6150000000000002</v>
      </c>
      <c r="F25">
        <v>6.7949999999999999</v>
      </c>
      <c r="G25">
        <v>1.2166999999999999</v>
      </c>
      <c r="H25">
        <v>0.90586999999999995</v>
      </c>
      <c r="I25">
        <v>0.81882999999999995</v>
      </c>
      <c r="J25">
        <v>0.37789</v>
      </c>
      <c r="K25">
        <v>0.11451</v>
      </c>
      <c r="L25">
        <v>0.31595000000000001</v>
      </c>
      <c r="M25">
        <v>2.95505</v>
      </c>
      <c r="N25">
        <v>2016</v>
      </c>
    </row>
    <row r="26" spans="1:14" x14ac:dyDescent="0.3">
      <c r="A26" s="1" t="s">
        <v>42</v>
      </c>
      <c r="B26" s="1" t="s">
        <v>28</v>
      </c>
      <c r="C26">
        <v>25</v>
      </c>
      <c r="D26">
        <v>6.7009999999999996</v>
      </c>
      <c r="E26">
        <v>6.601</v>
      </c>
      <c r="F26">
        <v>6.8010000000000002</v>
      </c>
      <c r="G26">
        <v>1.18306</v>
      </c>
      <c r="H26">
        <v>0.98912</v>
      </c>
      <c r="I26">
        <v>0.70835000000000004</v>
      </c>
      <c r="J26">
        <v>0.48926999999999998</v>
      </c>
      <c r="K26">
        <v>8.4229999999999999E-2</v>
      </c>
      <c r="L26">
        <v>0.24179999999999999</v>
      </c>
      <c r="M26">
        <v>3.0055900000000002</v>
      </c>
      <c r="N26">
        <v>2016</v>
      </c>
    </row>
    <row r="27" spans="1:14" x14ac:dyDescent="0.3">
      <c r="A27" s="1" t="s">
        <v>47</v>
      </c>
      <c r="B27" s="1" t="s">
        <v>28</v>
      </c>
      <c r="C27">
        <v>26</v>
      </c>
      <c r="D27">
        <v>6.65</v>
      </c>
      <c r="E27">
        <v>6.56</v>
      </c>
      <c r="F27">
        <v>6.74</v>
      </c>
      <c r="G27">
        <v>1.15137</v>
      </c>
      <c r="H27">
        <v>1.06612</v>
      </c>
      <c r="I27">
        <v>0.69711000000000001</v>
      </c>
      <c r="J27">
        <v>0.42283999999999999</v>
      </c>
      <c r="K27">
        <v>7.2959999999999997E-2</v>
      </c>
      <c r="L27">
        <v>0.10989</v>
      </c>
      <c r="M27">
        <v>3.1298499999999998</v>
      </c>
      <c r="N27">
        <v>2016</v>
      </c>
    </row>
    <row r="28" spans="1:14" x14ac:dyDescent="0.3">
      <c r="A28" s="1" t="s">
        <v>48</v>
      </c>
      <c r="B28" s="1" t="s">
        <v>49</v>
      </c>
      <c r="C28">
        <v>27</v>
      </c>
      <c r="D28">
        <v>6.5960000000000001</v>
      </c>
      <c r="E28">
        <v>6.5149999999999997</v>
      </c>
      <c r="F28">
        <v>6.6769999999999996</v>
      </c>
      <c r="G28">
        <v>1.30915</v>
      </c>
      <c r="H28">
        <v>1.00793</v>
      </c>
      <c r="I28">
        <v>0.76375999999999999</v>
      </c>
      <c r="J28">
        <v>0.41417999999999999</v>
      </c>
      <c r="K28">
        <v>3.986E-2</v>
      </c>
      <c r="L28">
        <v>9.9290000000000003E-2</v>
      </c>
      <c r="M28">
        <v>2.96211</v>
      </c>
      <c r="N28">
        <v>2016</v>
      </c>
    </row>
    <row r="29" spans="1:14" x14ac:dyDescent="0.3">
      <c r="A29" s="1" t="s">
        <v>36</v>
      </c>
      <c r="B29" s="1" t="s">
        <v>26</v>
      </c>
      <c r="C29">
        <v>28</v>
      </c>
      <c r="D29">
        <v>6.5730000000000004</v>
      </c>
      <c r="E29">
        <v>6.4939999999999998</v>
      </c>
      <c r="F29">
        <v>6.6520000000000001</v>
      </c>
      <c r="G29">
        <v>1.57352</v>
      </c>
      <c r="H29">
        <v>0.87114000000000003</v>
      </c>
      <c r="I29">
        <v>0.72992999999999997</v>
      </c>
      <c r="J29">
        <v>0.56215000000000004</v>
      </c>
      <c r="K29">
        <v>0.35560999999999998</v>
      </c>
      <c r="L29">
        <v>0.26590999999999998</v>
      </c>
      <c r="M29">
        <v>2.2150699999999999</v>
      </c>
      <c r="N29">
        <v>2016</v>
      </c>
    </row>
    <row r="30" spans="1:14" x14ac:dyDescent="0.3">
      <c r="A30" s="1" t="s">
        <v>50</v>
      </c>
      <c r="B30" s="1" t="s">
        <v>28</v>
      </c>
      <c r="C30">
        <v>29</v>
      </c>
      <c r="D30">
        <v>6.5449999999999999</v>
      </c>
      <c r="E30">
        <v>6.4560000000000004</v>
      </c>
      <c r="F30">
        <v>6.6340000000000003</v>
      </c>
      <c r="G30">
        <v>1.18157</v>
      </c>
      <c r="H30">
        <v>1.0314300000000001</v>
      </c>
      <c r="I30">
        <v>0.72182999999999997</v>
      </c>
      <c r="J30">
        <v>0.54388000000000003</v>
      </c>
      <c r="K30">
        <v>0.21393999999999999</v>
      </c>
      <c r="L30">
        <v>0.18056</v>
      </c>
      <c r="M30">
        <v>2.6713900000000002</v>
      </c>
      <c r="N30">
        <v>2016</v>
      </c>
    </row>
    <row r="31" spans="1:14" x14ac:dyDescent="0.3">
      <c r="A31" s="1" t="s">
        <v>55</v>
      </c>
      <c r="B31" s="1" t="s">
        <v>13</v>
      </c>
      <c r="C31">
        <v>30</v>
      </c>
      <c r="D31">
        <v>6.4880000000000004</v>
      </c>
      <c r="E31">
        <v>6.4089999999999998</v>
      </c>
      <c r="F31">
        <v>6.5670000000000002</v>
      </c>
      <c r="G31">
        <v>1.30782</v>
      </c>
      <c r="H31">
        <v>1.0987899999999999</v>
      </c>
      <c r="I31">
        <v>0.80315000000000003</v>
      </c>
      <c r="J31">
        <v>0.54993999999999998</v>
      </c>
      <c r="K31">
        <v>0.17554</v>
      </c>
      <c r="L31">
        <v>0.56237000000000004</v>
      </c>
      <c r="M31">
        <v>1.9903200000000001</v>
      </c>
      <c r="N31">
        <v>2016</v>
      </c>
    </row>
    <row r="32" spans="1:14" x14ac:dyDescent="0.3">
      <c r="A32" s="1" t="s">
        <v>51</v>
      </c>
      <c r="B32" s="1" t="s">
        <v>28</v>
      </c>
      <c r="C32">
        <v>31</v>
      </c>
      <c r="D32">
        <v>6.4809999999999999</v>
      </c>
      <c r="E32">
        <v>6.3840000000000003</v>
      </c>
      <c r="F32">
        <v>6.5780000000000003</v>
      </c>
      <c r="G32">
        <v>1.0303199999999999</v>
      </c>
      <c r="H32">
        <v>1.02169</v>
      </c>
      <c r="I32">
        <v>0.59658999999999995</v>
      </c>
      <c r="J32">
        <v>0.44735000000000003</v>
      </c>
      <c r="K32">
        <v>5.3990000000000003E-2</v>
      </c>
      <c r="L32">
        <v>0.15626000000000001</v>
      </c>
      <c r="M32">
        <v>3.1747100000000001</v>
      </c>
      <c r="N32">
        <v>2016</v>
      </c>
    </row>
    <row r="33" spans="1:14" x14ac:dyDescent="0.3">
      <c r="A33" s="1" t="s">
        <v>46</v>
      </c>
      <c r="B33" s="1" t="s">
        <v>13</v>
      </c>
      <c r="C33">
        <v>32</v>
      </c>
      <c r="D33">
        <v>6.4779999999999998</v>
      </c>
      <c r="E33">
        <v>6.3970000000000002</v>
      </c>
      <c r="F33">
        <v>6.5590000000000002</v>
      </c>
      <c r="G33">
        <v>1.3948799999999999</v>
      </c>
      <c r="H33">
        <v>1.00508</v>
      </c>
      <c r="I33">
        <v>0.83794999999999997</v>
      </c>
      <c r="J33">
        <v>0.46561999999999998</v>
      </c>
      <c r="K33">
        <v>0.17807999999999999</v>
      </c>
      <c r="L33">
        <v>0.1216</v>
      </c>
      <c r="M33">
        <v>2.4744000000000002</v>
      </c>
      <c r="N33">
        <v>2016</v>
      </c>
    </row>
    <row r="34" spans="1:14" x14ac:dyDescent="0.3">
      <c r="A34" s="1" t="s">
        <v>52</v>
      </c>
      <c r="B34" s="1" t="s">
        <v>41</v>
      </c>
      <c r="C34">
        <v>33</v>
      </c>
      <c r="D34">
        <v>6.4740000000000002</v>
      </c>
      <c r="E34">
        <v>6.3959999999999999</v>
      </c>
      <c r="F34">
        <v>6.5519999999999996</v>
      </c>
      <c r="G34">
        <v>1.0892999999999999</v>
      </c>
      <c r="H34">
        <v>1.04477</v>
      </c>
      <c r="I34">
        <v>0.64915</v>
      </c>
      <c r="J34">
        <v>0.49553000000000003</v>
      </c>
      <c r="K34">
        <v>2.8330000000000001E-2</v>
      </c>
      <c r="L34">
        <v>0.58696000000000004</v>
      </c>
      <c r="M34">
        <v>2.5796000000000001</v>
      </c>
      <c r="N34">
        <v>2016</v>
      </c>
    </row>
    <row r="35" spans="1:14" x14ac:dyDescent="0.3">
      <c r="A35" s="1" t="s">
        <v>53</v>
      </c>
      <c r="B35" s="1" t="s">
        <v>26</v>
      </c>
      <c r="C35">
        <v>34</v>
      </c>
      <c r="D35">
        <v>6.3789999999999996</v>
      </c>
      <c r="E35">
        <v>6.2869999999999999</v>
      </c>
      <c r="F35">
        <v>6.4710000000000001</v>
      </c>
      <c r="G35">
        <v>1.48953</v>
      </c>
      <c r="H35">
        <v>0.84828999999999999</v>
      </c>
      <c r="I35">
        <v>0.59267000000000003</v>
      </c>
      <c r="J35">
        <v>0.37903999999999999</v>
      </c>
      <c r="K35">
        <v>0.30008000000000001</v>
      </c>
      <c r="L35">
        <v>0.15457000000000001</v>
      </c>
      <c r="M35">
        <v>2.6148199999999999</v>
      </c>
      <c r="N35">
        <v>2016</v>
      </c>
    </row>
    <row r="36" spans="1:14" x14ac:dyDescent="0.3">
      <c r="A36" s="1" t="s">
        <v>56</v>
      </c>
      <c r="B36" s="1" t="s">
        <v>57</v>
      </c>
      <c r="C36">
        <v>34</v>
      </c>
      <c r="D36">
        <v>6.3789999999999996</v>
      </c>
      <c r="E36">
        <v>6.3049999999999997</v>
      </c>
      <c r="F36">
        <v>6.4530000000000003</v>
      </c>
      <c r="G36">
        <v>1.3972899999999999</v>
      </c>
      <c r="H36">
        <v>0.92623999999999995</v>
      </c>
      <c r="I36">
        <v>0.79564999999999997</v>
      </c>
      <c r="J36">
        <v>0.32377</v>
      </c>
      <c r="K36">
        <v>6.6299999999999998E-2</v>
      </c>
      <c r="L36">
        <v>0.25495000000000001</v>
      </c>
      <c r="M36">
        <v>2.6152299999999999</v>
      </c>
      <c r="N36">
        <v>2016</v>
      </c>
    </row>
    <row r="37" spans="1:14" x14ac:dyDescent="0.3">
      <c r="A37" s="1" t="s">
        <v>45</v>
      </c>
      <c r="B37" s="1" t="s">
        <v>26</v>
      </c>
      <c r="C37">
        <v>36</v>
      </c>
      <c r="D37">
        <v>6.375</v>
      </c>
      <c r="E37">
        <v>6.1779999999999999</v>
      </c>
      <c r="F37">
        <v>6.5720000000000001</v>
      </c>
      <c r="G37">
        <v>1.8242700000000001</v>
      </c>
      <c r="H37">
        <v>0.87963999999999998</v>
      </c>
      <c r="I37">
        <v>0.71723000000000003</v>
      </c>
      <c r="J37">
        <v>0.56679000000000002</v>
      </c>
      <c r="K37">
        <v>0.48048999999999997</v>
      </c>
      <c r="L37">
        <v>0.32388</v>
      </c>
      <c r="M37">
        <v>1.5822400000000001</v>
      </c>
      <c r="N37">
        <v>2016</v>
      </c>
    </row>
    <row r="38" spans="1:14" x14ac:dyDescent="0.3">
      <c r="A38" s="1" t="s">
        <v>54</v>
      </c>
      <c r="B38" s="1" t="s">
        <v>13</v>
      </c>
      <c r="C38">
        <v>37</v>
      </c>
      <c r="D38">
        <v>6.3609999999999998</v>
      </c>
      <c r="E38">
        <v>6.2880000000000003</v>
      </c>
      <c r="F38">
        <v>6.4340000000000002</v>
      </c>
      <c r="G38">
        <v>1.34253</v>
      </c>
      <c r="H38">
        <v>1.1294500000000001</v>
      </c>
      <c r="I38">
        <v>0.87895999999999996</v>
      </c>
      <c r="J38">
        <v>0.37545000000000001</v>
      </c>
      <c r="K38">
        <v>6.1370000000000001E-2</v>
      </c>
      <c r="L38">
        <v>0.17665</v>
      </c>
      <c r="M38">
        <v>2.39663</v>
      </c>
      <c r="N38">
        <v>2016</v>
      </c>
    </row>
    <row r="39" spans="1:14" x14ac:dyDescent="0.3">
      <c r="A39" s="1" t="s">
        <v>87</v>
      </c>
      <c r="B39" s="1" t="s">
        <v>26</v>
      </c>
      <c r="C39">
        <v>38</v>
      </c>
      <c r="D39">
        <v>6.3550000000000004</v>
      </c>
      <c r="E39">
        <v>6.2270000000000003</v>
      </c>
      <c r="F39">
        <v>6.4829999999999997</v>
      </c>
      <c r="G39">
        <v>1.0526599999999999</v>
      </c>
      <c r="H39">
        <v>0.83309</v>
      </c>
      <c r="I39">
        <v>0.61804000000000003</v>
      </c>
      <c r="J39">
        <v>0.21006</v>
      </c>
      <c r="K39">
        <v>0.16156999999999999</v>
      </c>
      <c r="L39">
        <v>7.0440000000000003E-2</v>
      </c>
      <c r="M39">
        <v>3.4090400000000001</v>
      </c>
      <c r="N39">
        <v>2016</v>
      </c>
    </row>
    <row r="40" spans="1:14" x14ac:dyDescent="0.3">
      <c r="A40" s="1" t="s">
        <v>62</v>
      </c>
      <c r="B40" s="1" t="s">
        <v>28</v>
      </c>
      <c r="C40">
        <v>39</v>
      </c>
      <c r="D40">
        <v>6.3239999999999998</v>
      </c>
      <c r="E40">
        <v>6.2130000000000001</v>
      </c>
      <c r="F40">
        <v>6.4349999999999996</v>
      </c>
      <c r="G40">
        <v>0.83453999999999995</v>
      </c>
      <c r="H40">
        <v>0.87119000000000002</v>
      </c>
      <c r="I40">
        <v>0.54039000000000004</v>
      </c>
      <c r="J40">
        <v>0.50378999999999996</v>
      </c>
      <c r="K40">
        <v>8.7010000000000004E-2</v>
      </c>
      <c r="L40">
        <v>0.28808</v>
      </c>
      <c r="M40">
        <v>3.1986300000000001</v>
      </c>
      <c r="N40">
        <v>2016</v>
      </c>
    </row>
    <row r="41" spans="1:14" x14ac:dyDescent="0.3">
      <c r="A41" s="1" t="s">
        <v>59</v>
      </c>
      <c r="B41" s="1" t="s">
        <v>28</v>
      </c>
      <c r="C41">
        <v>40</v>
      </c>
      <c r="D41">
        <v>6.2690000000000001</v>
      </c>
      <c r="E41">
        <v>6.0730000000000004</v>
      </c>
      <c r="F41">
        <v>6.4649999999999999</v>
      </c>
      <c r="G41">
        <v>1.0968599999999999</v>
      </c>
      <c r="H41">
        <v>0.77866000000000002</v>
      </c>
      <c r="I41">
        <v>0.50932999999999995</v>
      </c>
      <c r="J41">
        <v>0.52234000000000003</v>
      </c>
      <c r="K41">
        <v>0.12692000000000001</v>
      </c>
      <c r="L41">
        <v>0.16664999999999999</v>
      </c>
      <c r="M41">
        <v>3.0685199999999999</v>
      </c>
      <c r="N41">
        <v>2016</v>
      </c>
    </row>
    <row r="42" spans="1:14" x14ac:dyDescent="0.3">
      <c r="A42" s="1" t="s">
        <v>58</v>
      </c>
      <c r="B42" s="1" t="s">
        <v>26</v>
      </c>
      <c r="C42">
        <v>41</v>
      </c>
      <c r="D42">
        <v>6.2389999999999999</v>
      </c>
      <c r="E42">
        <v>6.1539999999999999</v>
      </c>
      <c r="F42">
        <v>6.3239999999999998</v>
      </c>
      <c r="G42">
        <v>1.61714</v>
      </c>
      <c r="H42">
        <v>0.87758000000000003</v>
      </c>
      <c r="I42">
        <v>0.63568999999999998</v>
      </c>
      <c r="J42">
        <v>0.43165999999999999</v>
      </c>
      <c r="K42">
        <v>0.23669000000000001</v>
      </c>
      <c r="L42">
        <v>0.15964999999999999</v>
      </c>
      <c r="M42">
        <v>2.28085</v>
      </c>
      <c r="N42">
        <v>2016</v>
      </c>
    </row>
    <row r="43" spans="1:14" x14ac:dyDescent="0.3">
      <c r="A43" s="1" t="s">
        <v>68</v>
      </c>
      <c r="B43" s="1" t="s">
        <v>26</v>
      </c>
      <c r="C43">
        <v>42</v>
      </c>
      <c r="D43">
        <v>6.218</v>
      </c>
      <c r="E43">
        <v>6.1280000000000001</v>
      </c>
      <c r="F43">
        <v>6.3079999999999998</v>
      </c>
      <c r="G43">
        <v>1.44024</v>
      </c>
      <c r="H43">
        <v>0.94396999999999998</v>
      </c>
      <c r="I43">
        <v>0.65695999999999999</v>
      </c>
      <c r="J43">
        <v>0.47375</v>
      </c>
      <c r="K43">
        <v>0.25772</v>
      </c>
      <c r="L43">
        <v>0.17147000000000001</v>
      </c>
      <c r="M43">
        <v>2.2740499999999999</v>
      </c>
      <c r="N43">
        <v>2016</v>
      </c>
    </row>
    <row r="44" spans="1:14" x14ac:dyDescent="0.3">
      <c r="A44" s="1" t="s">
        <v>60</v>
      </c>
      <c r="B44" s="1" t="s">
        <v>28</v>
      </c>
      <c r="C44">
        <v>43</v>
      </c>
      <c r="D44">
        <v>6.1680000000000001</v>
      </c>
      <c r="E44">
        <v>5.95</v>
      </c>
      <c r="F44">
        <v>6.3860000000000001</v>
      </c>
      <c r="G44">
        <v>1.32572</v>
      </c>
      <c r="H44">
        <v>0.98568999999999996</v>
      </c>
      <c r="I44">
        <v>0.52607999999999999</v>
      </c>
      <c r="J44">
        <v>0.48453000000000002</v>
      </c>
      <c r="K44">
        <v>1.2409999999999999E-2</v>
      </c>
      <c r="L44">
        <v>0.31935000000000002</v>
      </c>
      <c r="M44">
        <v>2.5139399999999998</v>
      </c>
      <c r="N44">
        <v>2016</v>
      </c>
    </row>
    <row r="45" spans="1:14" x14ac:dyDescent="0.3">
      <c r="A45" s="1" t="s">
        <v>39</v>
      </c>
      <c r="B45" s="1" t="s">
        <v>28</v>
      </c>
      <c r="C45">
        <v>44</v>
      </c>
      <c r="D45">
        <v>6.0839999999999996</v>
      </c>
      <c r="E45">
        <v>5.9729999999999999</v>
      </c>
      <c r="F45">
        <v>6.1950000000000003</v>
      </c>
      <c r="G45">
        <v>1.13367</v>
      </c>
      <c r="H45">
        <v>1.03302</v>
      </c>
      <c r="I45">
        <v>0.61904000000000003</v>
      </c>
      <c r="J45">
        <v>0.19847000000000001</v>
      </c>
      <c r="K45">
        <v>8.3040000000000003E-2</v>
      </c>
      <c r="L45">
        <v>4.2500000000000003E-2</v>
      </c>
      <c r="M45">
        <v>2.9746800000000002</v>
      </c>
      <c r="N45">
        <v>2016</v>
      </c>
    </row>
    <row r="46" spans="1:14" x14ac:dyDescent="0.3">
      <c r="A46" s="1" t="s">
        <v>64</v>
      </c>
      <c r="B46" s="1" t="s">
        <v>49</v>
      </c>
      <c r="C46">
        <v>45</v>
      </c>
      <c r="D46">
        <v>6.0780000000000003</v>
      </c>
      <c r="E46">
        <v>5.9960000000000004</v>
      </c>
      <c r="F46">
        <v>6.16</v>
      </c>
      <c r="G46">
        <v>1.27973</v>
      </c>
      <c r="H46">
        <v>1.0826800000000001</v>
      </c>
      <c r="I46">
        <v>0.70367000000000002</v>
      </c>
      <c r="J46">
        <v>0.23391000000000001</v>
      </c>
      <c r="K46">
        <v>2.947E-2</v>
      </c>
      <c r="L46">
        <v>0.13836999999999999</v>
      </c>
      <c r="M46">
        <v>2.6106500000000001</v>
      </c>
      <c r="N46">
        <v>2016</v>
      </c>
    </row>
    <row r="47" spans="1:14" x14ac:dyDescent="0.3">
      <c r="A47" s="1" t="s">
        <v>61</v>
      </c>
      <c r="B47" s="1" t="s">
        <v>28</v>
      </c>
      <c r="C47">
        <v>46</v>
      </c>
      <c r="D47">
        <v>6.0679999999999996</v>
      </c>
      <c r="E47">
        <v>5.9669999999999996</v>
      </c>
      <c r="F47">
        <v>6.1689999999999996</v>
      </c>
      <c r="G47">
        <v>0.87370000000000003</v>
      </c>
      <c r="H47">
        <v>0.80974999999999997</v>
      </c>
      <c r="I47">
        <v>0.59599999999999997</v>
      </c>
      <c r="J47">
        <v>0.37269000000000002</v>
      </c>
      <c r="K47">
        <v>0.10613</v>
      </c>
      <c r="L47">
        <v>8.8770000000000002E-2</v>
      </c>
      <c r="M47">
        <v>3.2213400000000001</v>
      </c>
      <c r="N47">
        <v>2016</v>
      </c>
    </row>
    <row r="48" spans="1:14" x14ac:dyDescent="0.3">
      <c r="A48" s="1" t="s">
        <v>80</v>
      </c>
      <c r="B48" s="1" t="s">
        <v>41</v>
      </c>
      <c r="C48">
        <v>47</v>
      </c>
      <c r="D48">
        <v>6.0049999999999999</v>
      </c>
      <c r="E48">
        <v>5.9210000000000003</v>
      </c>
      <c r="F48">
        <v>6.0890000000000004</v>
      </c>
      <c r="G48">
        <v>1.25142</v>
      </c>
      <c r="H48">
        <v>0.88024999999999998</v>
      </c>
      <c r="I48">
        <v>0.62365999999999999</v>
      </c>
      <c r="J48">
        <v>0.39030999999999999</v>
      </c>
      <c r="K48">
        <v>9.0810000000000002E-2</v>
      </c>
      <c r="L48">
        <v>0.41474</v>
      </c>
      <c r="M48">
        <v>2.3538399999999999</v>
      </c>
      <c r="N48">
        <v>2016</v>
      </c>
    </row>
    <row r="49" spans="1:14" x14ac:dyDescent="0.3">
      <c r="A49" s="1" t="s">
        <v>76</v>
      </c>
      <c r="B49" s="1" t="s">
        <v>28</v>
      </c>
      <c r="C49">
        <v>48</v>
      </c>
      <c r="D49">
        <v>5.992</v>
      </c>
      <c r="E49">
        <v>5.8769999999999998</v>
      </c>
      <c r="F49">
        <v>6.1070000000000002</v>
      </c>
      <c r="G49">
        <v>0.69384000000000001</v>
      </c>
      <c r="H49">
        <v>0.89520999999999995</v>
      </c>
      <c r="I49">
        <v>0.65212999999999999</v>
      </c>
      <c r="J49">
        <v>0.46582000000000001</v>
      </c>
      <c r="K49">
        <v>0.16292000000000001</v>
      </c>
      <c r="L49">
        <v>0.29772999999999999</v>
      </c>
      <c r="M49">
        <v>2.8242799999999999</v>
      </c>
      <c r="N49">
        <v>2016</v>
      </c>
    </row>
    <row r="50" spans="1:14" x14ac:dyDescent="0.3">
      <c r="A50" s="1" t="s">
        <v>63</v>
      </c>
      <c r="B50" s="1" t="s">
        <v>49</v>
      </c>
      <c r="C50">
        <v>49</v>
      </c>
      <c r="D50">
        <v>5.9870000000000001</v>
      </c>
      <c r="E50">
        <v>5.8959999999999999</v>
      </c>
      <c r="F50">
        <v>6.0780000000000003</v>
      </c>
      <c r="G50">
        <v>0.73590999999999995</v>
      </c>
      <c r="H50">
        <v>1.1680999999999999</v>
      </c>
      <c r="I50">
        <v>0.50163000000000002</v>
      </c>
      <c r="J50">
        <v>0.60848000000000002</v>
      </c>
      <c r="K50">
        <v>0.28333000000000003</v>
      </c>
      <c r="L50">
        <v>0.34326000000000001</v>
      </c>
      <c r="M50">
        <v>2.3463799999999999</v>
      </c>
      <c r="N50">
        <v>2016</v>
      </c>
    </row>
    <row r="51" spans="1:14" x14ac:dyDescent="0.3">
      <c r="A51" s="1" t="s">
        <v>69</v>
      </c>
      <c r="B51" s="1" t="s">
        <v>13</v>
      </c>
      <c r="C51">
        <v>50</v>
      </c>
      <c r="D51">
        <v>5.9770000000000003</v>
      </c>
      <c r="E51">
        <v>5.8979999999999997</v>
      </c>
      <c r="F51">
        <v>6.056</v>
      </c>
      <c r="G51">
        <v>1.3549500000000001</v>
      </c>
      <c r="H51">
        <v>1.0416700000000001</v>
      </c>
      <c r="I51">
        <v>0.85102</v>
      </c>
      <c r="J51">
        <v>0.18826999999999999</v>
      </c>
      <c r="K51">
        <v>2.5559999999999999E-2</v>
      </c>
      <c r="L51">
        <v>0.16683999999999999</v>
      </c>
      <c r="M51">
        <v>2.34918</v>
      </c>
      <c r="N51">
        <v>2016</v>
      </c>
    </row>
    <row r="52" spans="1:14" x14ac:dyDescent="0.3">
      <c r="A52" s="1" t="s">
        <v>67</v>
      </c>
      <c r="B52" s="1" t="s">
        <v>28</v>
      </c>
      <c r="C52">
        <v>51</v>
      </c>
      <c r="D52">
        <v>5.976</v>
      </c>
      <c r="E52">
        <v>5.88</v>
      </c>
      <c r="F52">
        <v>6.0720000000000001</v>
      </c>
      <c r="G52">
        <v>0.97306000000000004</v>
      </c>
      <c r="H52">
        <v>0.85973999999999995</v>
      </c>
      <c r="I52">
        <v>0.68613000000000002</v>
      </c>
      <c r="J52">
        <v>0.4027</v>
      </c>
      <c r="K52">
        <v>0.18037</v>
      </c>
      <c r="L52">
        <v>0.10074</v>
      </c>
      <c r="M52">
        <v>2.77366</v>
      </c>
      <c r="N52">
        <v>2016</v>
      </c>
    </row>
    <row r="53" spans="1:14" x14ac:dyDescent="0.3">
      <c r="A53" s="1" t="s">
        <v>183</v>
      </c>
      <c r="B53" s="1" t="s">
        <v>28</v>
      </c>
      <c r="C53">
        <v>52</v>
      </c>
      <c r="D53">
        <v>5.9560000000000004</v>
      </c>
      <c r="E53">
        <v>5.71</v>
      </c>
      <c r="F53">
        <v>6.202</v>
      </c>
      <c r="G53">
        <v>0.87616000000000005</v>
      </c>
      <c r="H53">
        <v>0.68654999999999999</v>
      </c>
      <c r="I53">
        <v>0.45568999999999998</v>
      </c>
      <c r="J53">
        <v>0.51231000000000004</v>
      </c>
      <c r="K53">
        <v>0.10771</v>
      </c>
      <c r="L53">
        <v>0.23683999999999999</v>
      </c>
      <c r="M53">
        <v>3.08039</v>
      </c>
      <c r="N53">
        <v>2016</v>
      </c>
    </row>
    <row r="54" spans="1:14" x14ac:dyDescent="0.3">
      <c r="A54" s="1" t="s">
        <v>65</v>
      </c>
      <c r="B54" s="1" t="s">
        <v>57</v>
      </c>
      <c r="C54">
        <v>53</v>
      </c>
      <c r="D54">
        <v>5.9210000000000003</v>
      </c>
      <c r="E54">
        <v>5.85</v>
      </c>
      <c r="F54">
        <v>5.992</v>
      </c>
      <c r="G54">
        <v>1.3800699999999999</v>
      </c>
      <c r="H54">
        <v>1.06054</v>
      </c>
      <c r="I54">
        <v>0.91491</v>
      </c>
      <c r="J54">
        <v>0.46761000000000003</v>
      </c>
      <c r="K54">
        <v>0.18984999999999999</v>
      </c>
      <c r="L54">
        <v>0.10224</v>
      </c>
      <c r="M54">
        <v>1.8058399999999999</v>
      </c>
      <c r="N54">
        <v>2016</v>
      </c>
    </row>
    <row r="55" spans="1:14" x14ac:dyDescent="0.3">
      <c r="A55" s="1" t="s">
        <v>73</v>
      </c>
      <c r="B55" s="1" t="s">
        <v>49</v>
      </c>
      <c r="C55">
        <v>54</v>
      </c>
      <c r="D55">
        <v>5.9189999999999996</v>
      </c>
      <c r="E55">
        <v>5.8369999999999997</v>
      </c>
      <c r="F55">
        <v>6.0010000000000003</v>
      </c>
      <c r="G55">
        <v>1.22943</v>
      </c>
      <c r="H55">
        <v>0.95543999999999996</v>
      </c>
      <c r="I55">
        <v>0.57386000000000004</v>
      </c>
      <c r="J55">
        <v>0.4052</v>
      </c>
      <c r="K55">
        <v>0.11132</v>
      </c>
      <c r="L55">
        <v>0.15010999999999999</v>
      </c>
      <c r="M55">
        <v>2.4932500000000002</v>
      </c>
      <c r="N55">
        <v>2016</v>
      </c>
    </row>
    <row r="56" spans="1:14" x14ac:dyDescent="0.3">
      <c r="A56" s="1" t="s">
        <v>71</v>
      </c>
      <c r="B56" s="1" t="s">
        <v>49</v>
      </c>
      <c r="C56">
        <v>55</v>
      </c>
      <c r="D56">
        <v>5.8970000000000002</v>
      </c>
      <c r="E56">
        <v>5.8230000000000004</v>
      </c>
      <c r="F56">
        <v>5.9710000000000001</v>
      </c>
      <c r="G56">
        <v>0.69177</v>
      </c>
      <c r="H56">
        <v>0.83131999999999995</v>
      </c>
      <c r="I56">
        <v>0.52309000000000005</v>
      </c>
      <c r="J56">
        <v>0.25202000000000002</v>
      </c>
      <c r="K56">
        <v>1.9029999999999998E-2</v>
      </c>
      <c r="L56">
        <v>0.19997000000000001</v>
      </c>
      <c r="M56">
        <v>3.3800699999999999</v>
      </c>
      <c r="N56">
        <v>2016</v>
      </c>
    </row>
    <row r="57" spans="1:14" x14ac:dyDescent="0.3">
      <c r="A57" s="1" t="s">
        <v>83</v>
      </c>
      <c r="B57" s="1" t="s">
        <v>49</v>
      </c>
      <c r="C57">
        <v>56</v>
      </c>
      <c r="D57">
        <v>5.8559999999999999</v>
      </c>
      <c r="E57">
        <v>5.7889999999999997</v>
      </c>
      <c r="F57">
        <v>5.923</v>
      </c>
      <c r="G57">
        <v>1.23228</v>
      </c>
      <c r="H57">
        <v>1.05261</v>
      </c>
      <c r="I57">
        <v>0.58991000000000005</v>
      </c>
      <c r="J57">
        <v>0.32682</v>
      </c>
      <c r="K57">
        <v>3.5860000000000003E-2</v>
      </c>
      <c r="L57">
        <v>2.7359999999999999E-2</v>
      </c>
      <c r="M57">
        <v>2.5911499999999998</v>
      </c>
      <c r="N57">
        <v>2016</v>
      </c>
    </row>
    <row r="58" spans="1:14" x14ac:dyDescent="0.3">
      <c r="A58" s="1" t="s">
        <v>79</v>
      </c>
      <c r="B58" s="1" t="s">
        <v>49</v>
      </c>
      <c r="C58">
        <v>57</v>
      </c>
      <c r="D58">
        <v>5.835</v>
      </c>
      <c r="E58">
        <v>5.7489999999999997</v>
      </c>
      <c r="F58">
        <v>5.9210000000000003</v>
      </c>
      <c r="G58">
        <v>1.2458499999999999</v>
      </c>
      <c r="H58">
        <v>1.0468500000000001</v>
      </c>
      <c r="I58">
        <v>0.69057999999999997</v>
      </c>
      <c r="J58">
        <v>0.45190000000000002</v>
      </c>
      <c r="K58">
        <v>5.5E-2</v>
      </c>
      <c r="L58">
        <v>0.14443</v>
      </c>
      <c r="M58">
        <v>2.2003499999999998</v>
      </c>
      <c r="N58">
        <v>2016</v>
      </c>
    </row>
    <row r="59" spans="1:14" x14ac:dyDescent="0.3">
      <c r="A59" s="1" t="s">
        <v>66</v>
      </c>
      <c r="B59" s="1" t="s">
        <v>57</v>
      </c>
      <c r="C59">
        <v>57</v>
      </c>
      <c r="D59">
        <v>5.835</v>
      </c>
      <c r="E59">
        <v>5.7469999999999999</v>
      </c>
      <c r="F59">
        <v>5.923</v>
      </c>
      <c r="G59">
        <v>1.35948</v>
      </c>
      <c r="H59">
        <v>0.72194000000000003</v>
      </c>
      <c r="I59">
        <v>0.88644999999999996</v>
      </c>
      <c r="J59">
        <v>0.25168000000000001</v>
      </c>
      <c r="K59">
        <v>7.7160000000000006E-2</v>
      </c>
      <c r="L59">
        <v>0.18823999999999999</v>
      </c>
      <c r="M59">
        <v>2.3501500000000002</v>
      </c>
      <c r="N59">
        <v>2016</v>
      </c>
    </row>
    <row r="60" spans="1:14" x14ac:dyDescent="0.3">
      <c r="A60" s="1" t="s">
        <v>70</v>
      </c>
      <c r="B60" s="1" t="s">
        <v>28</v>
      </c>
      <c r="C60">
        <v>59</v>
      </c>
      <c r="D60">
        <v>5.8220000000000001</v>
      </c>
      <c r="E60">
        <v>5.74</v>
      </c>
      <c r="F60">
        <v>5.9039999999999999</v>
      </c>
      <c r="G60">
        <v>0.79422000000000004</v>
      </c>
      <c r="H60">
        <v>0.83779000000000003</v>
      </c>
      <c r="I60">
        <v>0.46970000000000001</v>
      </c>
      <c r="J60">
        <v>0.50961000000000001</v>
      </c>
      <c r="K60">
        <v>7.7460000000000001E-2</v>
      </c>
      <c r="L60">
        <v>0.21698000000000001</v>
      </c>
      <c r="M60">
        <v>2.91635</v>
      </c>
      <c r="N60">
        <v>2016</v>
      </c>
    </row>
    <row r="61" spans="1:14" x14ac:dyDescent="0.3">
      <c r="A61" s="1" t="s">
        <v>75</v>
      </c>
      <c r="B61" s="1" t="s">
        <v>49</v>
      </c>
      <c r="C61">
        <v>60</v>
      </c>
      <c r="D61">
        <v>5.8129999999999997</v>
      </c>
      <c r="E61">
        <v>5.734</v>
      </c>
      <c r="F61">
        <v>5.8920000000000003</v>
      </c>
      <c r="G61">
        <v>1.2692000000000001</v>
      </c>
      <c r="H61">
        <v>1.0641099999999999</v>
      </c>
      <c r="I61">
        <v>0.64673999999999998</v>
      </c>
      <c r="J61">
        <v>0.18929000000000001</v>
      </c>
      <c r="K61">
        <v>1.8200000000000001E-2</v>
      </c>
      <c r="L61">
        <v>2.0250000000000001E-2</v>
      </c>
      <c r="M61">
        <v>2.6052499999999998</v>
      </c>
      <c r="N61">
        <v>2016</v>
      </c>
    </row>
    <row r="62" spans="1:14" x14ac:dyDescent="0.3">
      <c r="A62" s="1" t="s">
        <v>78</v>
      </c>
      <c r="B62" s="1" t="s">
        <v>49</v>
      </c>
      <c r="C62">
        <v>61</v>
      </c>
      <c r="D62">
        <v>5.8019999999999996</v>
      </c>
      <c r="E62">
        <v>5.7229999999999999</v>
      </c>
      <c r="F62">
        <v>5.8810000000000002</v>
      </c>
      <c r="G62">
        <v>1.13062</v>
      </c>
      <c r="H62">
        <v>1.04993</v>
      </c>
      <c r="I62">
        <v>0.63104000000000005</v>
      </c>
      <c r="J62">
        <v>0.29091</v>
      </c>
      <c r="K62">
        <v>0.17457</v>
      </c>
      <c r="L62">
        <v>0.13941999999999999</v>
      </c>
      <c r="M62">
        <v>2.3858199999999998</v>
      </c>
      <c r="N62">
        <v>2016</v>
      </c>
    </row>
    <row r="63" spans="1:14" x14ac:dyDescent="0.3">
      <c r="A63" s="1" t="s">
        <v>85</v>
      </c>
      <c r="B63" s="1" t="s">
        <v>13</v>
      </c>
      <c r="C63">
        <v>62</v>
      </c>
      <c r="D63">
        <v>5.7709999999999999</v>
      </c>
      <c r="E63">
        <v>5.67</v>
      </c>
      <c r="F63">
        <v>5.8719999999999999</v>
      </c>
      <c r="G63">
        <v>1.31141</v>
      </c>
      <c r="H63">
        <v>0.81825999999999999</v>
      </c>
      <c r="I63">
        <v>0.84141999999999995</v>
      </c>
      <c r="J63">
        <v>0.43596000000000001</v>
      </c>
      <c r="K63">
        <v>0.16578000000000001</v>
      </c>
      <c r="L63">
        <v>0.26322000000000001</v>
      </c>
      <c r="M63">
        <v>1.9344699999999999</v>
      </c>
      <c r="N63">
        <v>2016</v>
      </c>
    </row>
    <row r="64" spans="1:14" x14ac:dyDescent="0.3">
      <c r="A64" s="1" t="s">
        <v>74</v>
      </c>
      <c r="B64" s="1" t="s">
        <v>49</v>
      </c>
      <c r="C64">
        <v>63</v>
      </c>
      <c r="D64">
        <v>5.7679999999999998</v>
      </c>
      <c r="E64">
        <v>5.6829999999999998</v>
      </c>
      <c r="F64">
        <v>5.8529999999999998</v>
      </c>
      <c r="G64">
        <v>1.2994699999999999</v>
      </c>
      <c r="H64">
        <v>1.05613</v>
      </c>
      <c r="I64">
        <v>0.79151000000000005</v>
      </c>
      <c r="J64">
        <v>0.53164</v>
      </c>
      <c r="K64">
        <v>3.635E-2</v>
      </c>
      <c r="L64">
        <v>0.25738</v>
      </c>
      <c r="M64">
        <v>1.79522</v>
      </c>
      <c r="N64">
        <v>2016</v>
      </c>
    </row>
    <row r="65" spans="1:14" x14ac:dyDescent="0.3">
      <c r="A65" s="1" t="s">
        <v>77</v>
      </c>
      <c r="B65" s="1" t="s">
        <v>28</v>
      </c>
      <c r="C65">
        <v>64</v>
      </c>
      <c r="D65">
        <v>5.7430000000000003</v>
      </c>
      <c r="E65">
        <v>5.6470000000000002</v>
      </c>
      <c r="F65">
        <v>5.8390000000000004</v>
      </c>
      <c r="G65">
        <v>0.99602000000000002</v>
      </c>
      <c r="H65">
        <v>0.81254999999999999</v>
      </c>
      <c r="I65">
        <v>0.62994000000000006</v>
      </c>
      <c r="J65">
        <v>0.37502000000000002</v>
      </c>
      <c r="K65">
        <v>5.2920000000000002E-2</v>
      </c>
      <c r="L65">
        <v>0.14527000000000001</v>
      </c>
      <c r="M65">
        <v>2.7311700000000001</v>
      </c>
      <c r="N65">
        <v>2016</v>
      </c>
    </row>
    <row r="66" spans="1:14" x14ac:dyDescent="0.3">
      <c r="A66" s="1" t="s">
        <v>89</v>
      </c>
      <c r="B66" s="1" t="s">
        <v>49</v>
      </c>
      <c r="C66">
        <v>65</v>
      </c>
      <c r="D66">
        <v>5.6580000000000004</v>
      </c>
      <c r="E66">
        <v>5.58</v>
      </c>
      <c r="F66">
        <v>5.7359999999999998</v>
      </c>
      <c r="G66">
        <v>1.0801700000000001</v>
      </c>
      <c r="H66">
        <v>1.03817</v>
      </c>
      <c r="I66">
        <v>0.44006000000000001</v>
      </c>
      <c r="J66">
        <v>0.37408000000000002</v>
      </c>
      <c r="K66">
        <v>0.28466999999999998</v>
      </c>
      <c r="L66">
        <v>0.22567000000000001</v>
      </c>
      <c r="M66">
        <v>2.21489</v>
      </c>
      <c r="N66">
        <v>2016</v>
      </c>
    </row>
    <row r="67" spans="1:14" x14ac:dyDescent="0.3">
      <c r="A67" s="1" t="s">
        <v>90</v>
      </c>
      <c r="B67" s="1" t="s">
        <v>91</v>
      </c>
      <c r="C67">
        <v>66</v>
      </c>
      <c r="D67">
        <v>5.6479999999999997</v>
      </c>
      <c r="E67">
        <v>5.5069999999999997</v>
      </c>
      <c r="F67">
        <v>5.7889999999999997</v>
      </c>
      <c r="G67">
        <v>1.1437200000000001</v>
      </c>
      <c r="H67">
        <v>0.75695000000000001</v>
      </c>
      <c r="I67">
        <v>0.66188999999999998</v>
      </c>
      <c r="J67">
        <v>0.46145000000000003</v>
      </c>
      <c r="K67">
        <v>5.203E-2</v>
      </c>
      <c r="L67">
        <v>0.36951000000000001</v>
      </c>
      <c r="M67">
        <v>2.2022300000000001</v>
      </c>
      <c r="N67">
        <v>2016</v>
      </c>
    </row>
    <row r="68" spans="1:14" x14ac:dyDescent="0.3">
      <c r="A68" s="1" t="s">
        <v>82</v>
      </c>
      <c r="B68" s="1" t="s">
        <v>26</v>
      </c>
      <c r="C68">
        <v>67</v>
      </c>
      <c r="D68">
        <v>5.6150000000000002</v>
      </c>
      <c r="E68">
        <v>5.4059999999999997</v>
      </c>
      <c r="F68">
        <v>5.8239999999999998</v>
      </c>
      <c r="G68">
        <v>1.0668800000000001</v>
      </c>
      <c r="H68">
        <v>0.95076000000000005</v>
      </c>
      <c r="I68">
        <v>0.52303999999999995</v>
      </c>
      <c r="J68">
        <v>0.40672000000000003</v>
      </c>
      <c r="K68">
        <v>0.10339</v>
      </c>
      <c r="L68">
        <v>0.17086999999999999</v>
      </c>
      <c r="M68">
        <v>2.3937400000000002</v>
      </c>
      <c r="N68">
        <v>2016</v>
      </c>
    </row>
    <row r="69" spans="1:14" x14ac:dyDescent="0.3">
      <c r="A69" s="1" t="s">
        <v>110</v>
      </c>
      <c r="B69" s="1" t="s">
        <v>49</v>
      </c>
      <c r="C69">
        <v>68</v>
      </c>
      <c r="D69">
        <v>5.56</v>
      </c>
      <c r="E69">
        <v>5.4859999999999998</v>
      </c>
      <c r="F69">
        <v>5.6340000000000003</v>
      </c>
      <c r="G69">
        <v>1.2178800000000001</v>
      </c>
      <c r="H69">
        <v>0.95025000000000004</v>
      </c>
      <c r="I69">
        <v>0.63951999999999998</v>
      </c>
      <c r="J69">
        <v>0.27995999999999999</v>
      </c>
      <c r="K69">
        <v>8.8900000000000007E-2</v>
      </c>
      <c r="L69">
        <v>0.17444999999999999</v>
      </c>
      <c r="M69">
        <v>2.2085900000000001</v>
      </c>
      <c r="N69">
        <v>2016</v>
      </c>
    </row>
    <row r="70" spans="1:14" x14ac:dyDescent="0.3">
      <c r="A70" s="1" t="s">
        <v>86</v>
      </c>
      <c r="B70" s="1" t="s">
        <v>13</v>
      </c>
      <c r="C70">
        <v>69</v>
      </c>
      <c r="D70">
        <v>5.5460000000000003</v>
      </c>
      <c r="E70">
        <v>5.4420000000000002</v>
      </c>
      <c r="F70">
        <v>5.65</v>
      </c>
      <c r="G70">
        <v>1.31857</v>
      </c>
      <c r="H70">
        <v>0.70696999999999999</v>
      </c>
      <c r="I70">
        <v>0.8488</v>
      </c>
      <c r="J70">
        <v>0.29507</v>
      </c>
      <c r="K70">
        <v>5.228E-2</v>
      </c>
      <c r="L70">
        <v>0.27905999999999997</v>
      </c>
      <c r="M70">
        <v>2.0449700000000002</v>
      </c>
      <c r="N70">
        <v>2016</v>
      </c>
    </row>
    <row r="71" spans="1:14" x14ac:dyDescent="0.3">
      <c r="A71" s="1" t="s">
        <v>72</v>
      </c>
      <c r="B71" s="1" t="s">
        <v>28</v>
      </c>
      <c r="C71">
        <v>70</v>
      </c>
      <c r="D71">
        <v>5.5380000000000003</v>
      </c>
      <c r="E71">
        <v>5.4530000000000003</v>
      </c>
      <c r="F71">
        <v>5.6230000000000002</v>
      </c>
      <c r="G71">
        <v>0.89373000000000002</v>
      </c>
      <c r="H71">
        <v>1.11111</v>
      </c>
      <c r="I71">
        <v>0.58294999999999997</v>
      </c>
      <c r="J71">
        <v>0.46234999999999998</v>
      </c>
      <c r="K71">
        <v>7.3959999999999998E-2</v>
      </c>
      <c r="L71">
        <v>0.25296000000000002</v>
      </c>
      <c r="M71">
        <v>2.1609099999999999</v>
      </c>
      <c r="N71">
        <v>2016</v>
      </c>
    </row>
    <row r="72" spans="1:14" x14ac:dyDescent="0.3">
      <c r="A72" s="1" t="s">
        <v>107</v>
      </c>
      <c r="B72" s="1" t="s">
        <v>49</v>
      </c>
      <c r="C72">
        <v>71</v>
      </c>
      <c r="D72">
        <v>5.5279999999999996</v>
      </c>
      <c r="E72">
        <v>5.4269999999999996</v>
      </c>
      <c r="F72">
        <v>5.6289999999999996</v>
      </c>
      <c r="G72">
        <v>1.1697</v>
      </c>
      <c r="H72">
        <v>0.72802999999999995</v>
      </c>
      <c r="I72">
        <v>0.67601999999999995</v>
      </c>
      <c r="J72">
        <v>0.36712</v>
      </c>
      <c r="K72">
        <v>6.79E-3</v>
      </c>
      <c r="L72">
        <v>0.12889</v>
      </c>
      <c r="M72">
        <v>2.4518399999999998</v>
      </c>
      <c r="N72">
        <v>2016</v>
      </c>
    </row>
    <row r="73" spans="1:14" x14ac:dyDescent="0.3">
      <c r="A73" s="1" t="s">
        <v>93</v>
      </c>
      <c r="B73" s="1" t="s">
        <v>49</v>
      </c>
      <c r="C73">
        <v>72</v>
      </c>
      <c r="D73">
        <v>5.5170000000000003</v>
      </c>
      <c r="E73">
        <v>5.4370000000000003</v>
      </c>
      <c r="F73">
        <v>5.5970000000000004</v>
      </c>
      <c r="G73">
        <v>1.2796400000000001</v>
      </c>
      <c r="H73">
        <v>1.0516300000000001</v>
      </c>
      <c r="I73">
        <v>0.68098000000000003</v>
      </c>
      <c r="J73">
        <v>0.41510999999999998</v>
      </c>
      <c r="K73">
        <v>0.18518999999999999</v>
      </c>
      <c r="L73">
        <v>8.4229999999999999E-2</v>
      </c>
      <c r="M73">
        <v>1.81985</v>
      </c>
      <c r="N73">
        <v>2016</v>
      </c>
    </row>
    <row r="74" spans="1:14" x14ac:dyDescent="0.3">
      <c r="A74" s="1" t="s">
        <v>84</v>
      </c>
      <c r="B74" s="1" t="s">
        <v>28</v>
      </c>
      <c r="C74">
        <v>73</v>
      </c>
      <c r="D74">
        <v>5.51</v>
      </c>
      <c r="E74">
        <v>5.3150000000000004</v>
      </c>
      <c r="F74">
        <v>5.7050000000000001</v>
      </c>
      <c r="G74">
        <v>0.89332999999999996</v>
      </c>
      <c r="H74">
        <v>0.96372000000000002</v>
      </c>
      <c r="I74">
        <v>0.59469000000000005</v>
      </c>
      <c r="J74">
        <v>0.43597000000000002</v>
      </c>
      <c r="K74">
        <v>4.2939999999999999E-2</v>
      </c>
      <c r="L74">
        <v>0.22245000000000001</v>
      </c>
      <c r="M74">
        <v>2.3568199999999999</v>
      </c>
      <c r="N74">
        <v>2016</v>
      </c>
    </row>
    <row r="75" spans="1:14" x14ac:dyDescent="0.3">
      <c r="A75" s="1" t="s">
        <v>81</v>
      </c>
      <c r="B75" s="1" t="s">
        <v>49</v>
      </c>
      <c r="C75">
        <v>74</v>
      </c>
      <c r="D75">
        <v>5.4880000000000004</v>
      </c>
      <c r="E75">
        <v>5.4020000000000001</v>
      </c>
      <c r="F75">
        <v>5.5739999999999998</v>
      </c>
      <c r="G75">
        <v>1.18649</v>
      </c>
      <c r="H75">
        <v>0.60809000000000002</v>
      </c>
      <c r="I75">
        <v>0.70523999999999998</v>
      </c>
      <c r="J75">
        <v>0.23907</v>
      </c>
      <c r="K75">
        <v>4.002E-2</v>
      </c>
      <c r="L75">
        <v>0.18434</v>
      </c>
      <c r="M75">
        <v>2.5246200000000001</v>
      </c>
      <c r="N75">
        <v>2016</v>
      </c>
    </row>
    <row r="76" spans="1:14" x14ac:dyDescent="0.3">
      <c r="A76" s="1" t="s">
        <v>92</v>
      </c>
      <c r="B76" s="1" t="s">
        <v>57</v>
      </c>
      <c r="C76">
        <v>75</v>
      </c>
      <c r="D76">
        <v>5.4580000000000002</v>
      </c>
      <c r="E76">
        <v>5.3620000000000001</v>
      </c>
      <c r="F76">
        <v>5.5540000000000003</v>
      </c>
      <c r="G76">
        <v>1.5106999999999999</v>
      </c>
      <c r="H76">
        <v>0.87021000000000004</v>
      </c>
      <c r="I76">
        <v>0.95277000000000001</v>
      </c>
      <c r="J76">
        <v>0.48079</v>
      </c>
      <c r="K76">
        <v>0.31646999999999997</v>
      </c>
      <c r="L76">
        <v>0.40096999999999999</v>
      </c>
      <c r="M76">
        <v>0.92613999999999996</v>
      </c>
      <c r="N76">
        <v>2016</v>
      </c>
    </row>
    <row r="77" spans="1:14" x14ac:dyDescent="0.3">
      <c r="A77" s="1" t="s">
        <v>184</v>
      </c>
      <c r="B77" s="1" t="s">
        <v>91</v>
      </c>
      <c r="C77">
        <v>76</v>
      </c>
      <c r="D77">
        <v>5.44</v>
      </c>
      <c r="E77">
        <v>5.3209999999999997</v>
      </c>
      <c r="F77">
        <v>5.5590000000000002</v>
      </c>
      <c r="G77">
        <v>0</v>
      </c>
      <c r="H77">
        <v>0.33612999999999998</v>
      </c>
      <c r="I77">
        <v>0.11466</v>
      </c>
      <c r="J77">
        <v>0.56777999999999995</v>
      </c>
      <c r="K77">
        <v>0.31180000000000002</v>
      </c>
      <c r="L77">
        <v>0.27224999999999999</v>
      </c>
      <c r="M77">
        <v>3.83772</v>
      </c>
      <c r="N77">
        <v>2016</v>
      </c>
    </row>
    <row r="78" spans="1:14" x14ac:dyDescent="0.3">
      <c r="A78" s="1" t="s">
        <v>88</v>
      </c>
      <c r="B78" s="1" t="s">
        <v>49</v>
      </c>
      <c r="C78">
        <v>77</v>
      </c>
      <c r="D78">
        <v>5.4009999999999998</v>
      </c>
      <c r="E78">
        <v>5.3079999999999998</v>
      </c>
      <c r="F78">
        <v>5.4939999999999998</v>
      </c>
      <c r="G78">
        <v>0.90144999999999997</v>
      </c>
      <c r="H78">
        <v>0.66061999999999999</v>
      </c>
      <c r="I78">
        <v>0.54</v>
      </c>
      <c r="J78">
        <v>0.14396</v>
      </c>
      <c r="K78">
        <v>6.547E-2</v>
      </c>
      <c r="L78">
        <v>0.27992</v>
      </c>
      <c r="M78">
        <v>2.8099799999999999</v>
      </c>
      <c r="N78">
        <v>2016</v>
      </c>
    </row>
    <row r="79" spans="1:14" x14ac:dyDescent="0.3">
      <c r="A79" s="1" t="s">
        <v>96</v>
      </c>
      <c r="B79" s="1" t="s">
        <v>26</v>
      </c>
      <c r="C79">
        <v>78</v>
      </c>
      <c r="D79">
        <v>5.3890000000000002</v>
      </c>
      <c r="E79">
        <v>5.2949999999999999</v>
      </c>
      <c r="F79">
        <v>5.4829999999999997</v>
      </c>
      <c r="G79">
        <v>1.16492</v>
      </c>
      <c r="H79">
        <v>0.87717000000000001</v>
      </c>
      <c r="I79">
        <v>0.64717999999999998</v>
      </c>
      <c r="J79">
        <v>0.23888999999999999</v>
      </c>
      <c r="K79">
        <v>0.12348000000000001</v>
      </c>
      <c r="L79">
        <v>4.7070000000000001E-2</v>
      </c>
      <c r="M79">
        <v>2.29074</v>
      </c>
      <c r="N79">
        <v>2016</v>
      </c>
    </row>
    <row r="80" spans="1:14" x14ac:dyDescent="0.3">
      <c r="A80" s="1" t="s">
        <v>94</v>
      </c>
      <c r="B80" s="1" t="s">
        <v>41</v>
      </c>
      <c r="C80">
        <v>79</v>
      </c>
      <c r="D80">
        <v>5.3140000000000001</v>
      </c>
      <c r="E80">
        <v>5.2370000000000001</v>
      </c>
      <c r="F80">
        <v>5.391</v>
      </c>
      <c r="G80">
        <v>0.95104</v>
      </c>
      <c r="H80">
        <v>0.87624999999999997</v>
      </c>
      <c r="I80">
        <v>0.49374000000000001</v>
      </c>
      <c r="J80">
        <v>0.39237</v>
      </c>
      <c r="K80">
        <v>3.2200000000000002E-3</v>
      </c>
      <c r="L80">
        <v>0.56520999999999999</v>
      </c>
      <c r="M80">
        <v>2.0317099999999999</v>
      </c>
      <c r="N80">
        <v>2016</v>
      </c>
    </row>
    <row r="81" spans="1:14" x14ac:dyDescent="0.3">
      <c r="A81" s="1" t="s">
        <v>103</v>
      </c>
      <c r="B81" s="1" t="s">
        <v>26</v>
      </c>
      <c r="C81">
        <v>80</v>
      </c>
      <c r="D81">
        <v>5.3029999999999999</v>
      </c>
      <c r="E81">
        <v>5.1870000000000003</v>
      </c>
      <c r="F81">
        <v>5.4189999999999996</v>
      </c>
      <c r="G81">
        <v>0.99673</v>
      </c>
      <c r="H81">
        <v>0.86216000000000004</v>
      </c>
      <c r="I81">
        <v>0.60711999999999999</v>
      </c>
      <c r="J81">
        <v>0.36022999999999999</v>
      </c>
      <c r="K81">
        <v>0.13297</v>
      </c>
      <c r="L81">
        <v>0.14262</v>
      </c>
      <c r="M81">
        <v>2.2014200000000002</v>
      </c>
      <c r="N81">
        <v>2016</v>
      </c>
    </row>
    <row r="82" spans="1:14" x14ac:dyDescent="0.3">
      <c r="A82" s="1" t="s">
        <v>101</v>
      </c>
      <c r="B82" s="1" t="s">
        <v>49</v>
      </c>
      <c r="C82">
        <v>81</v>
      </c>
      <c r="D82">
        <v>5.2910000000000004</v>
      </c>
      <c r="E82">
        <v>5.226</v>
      </c>
      <c r="F82">
        <v>5.3559999999999999</v>
      </c>
      <c r="G82">
        <v>1.1237299999999999</v>
      </c>
      <c r="H82">
        <v>0.76041999999999998</v>
      </c>
      <c r="I82">
        <v>0.54503999999999997</v>
      </c>
      <c r="J82">
        <v>0.35326999999999997</v>
      </c>
      <c r="K82">
        <v>0.17913999999999999</v>
      </c>
      <c r="L82">
        <v>5.6399999999999999E-2</v>
      </c>
      <c r="M82">
        <v>2.2734999999999999</v>
      </c>
      <c r="N82">
        <v>2016</v>
      </c>
    </row>
    <row r="83" spans="1:14" x14ac:dyDescent="0.3">
      <c r="A83" s="1" t="s">
        <v>111</v>
      </c>
      <c r="B83" s="1" t="s">
        <v>41</v>
      </c>
      <c r="C83">
        <v>82</v>
      </c>
      <c r="D83">
        <v>5.2789999999999999</v>
      </c>
      <c r="E83">
        <v>5.16</v>
      </c>
      <c r="F83">
        <v>5.3979999999999997</v>
      </c>
      <c r="G83">
        <v>0.81216999999999995</v>
      </c>
      <c r="H83">
        <v>0.87877000000000005</v>
      </c>
      <c r="I83">
        <v>0.47036</v>
      </c>
      <c r="J83">
        <v>0.54854000000000003</v>
      </c>
      <c r="K83">
        <v>0.11756999999999999</v>
      </c>
      <c r="L83">
        <v>0.21673999999999999</v>
      </c>
      <c r="M83">
        <v>2.2348400000000002</v>
      </c>
      <c r="N83">
        <v>2016</v>
      </c>
    </row>
    <row r="84" spans="1:14" x14ac:dyDescent="0.3">
      <c r="A84" s="1" t="s">
        <v>105</v>
      </c>
      <c r="B84" s="1" t="s">
        <v>57</v>
      </c>
      <c r="C84">
        <v>83</v>
      </c>
      <c r="D84">
        <v>5.2450000000000001</v>
      </c>
      <c r="E84">
        <v>5.1989999999999998</v>
      </c>
      <c r="F84">
        <v>5.2910000000000004</v>
      </c>
      <c r="G84">
        <v>1.0278</v>
      </c>
      <c r="H84">
        <v>0.79381000000000002</v>
      </c>
      <c r="I84">
        <v>0.73560999999999999</v>
      </c>
      <c r="J84">
        <v>0.44012000000000001</v>
      </c>
      <c r="K84">
        <v>2.7449999999999999E-2</v>
      </c>
      <c r="L84">
        <v>4.9590000000000002E-2</v>
      </c>
      <c r="M84">
        <v>2.1708699999999999</v>
      </c>
      <c r="N84">
        <v>2016</v>
      </c>
    </row>
    <row r="85" spans="1:14" x14ac:dyDescent="0.3">
      <c r="A85" s="1" t="s">
        <v>99</v>
      </c>
      <c r="B85" s="1" t="s">
        <v>100</v>
      </c>
      <c r="C85">
        <v>84</v>
      </c>
      <c r="D85">
        <v>5.1959999999999997</v>
      </c>
      <c r="E85">
        <v>5.1379999999999999</v>
      </c>
      <c r="F85">
        <v>5.2539999999999996</v>
      </c>
      <c r="G85">
        <v>0.85270000000000001</v>
      </c>
      <c r="H85">
        <v>0.90835999999999995</v>
      </c>
      <c r="I85">
        <v>0.49758999999999998</v>
      </c>
      <c r="J85">
        <v>0.46073999999999998</v>
      </c>
      <c r="K85">
        <v>0.16159999999999999</v>
      </c>
      <c r="L85">
        <v>0.48546</v>
      </c>
      <c r="M85">
        <v>1.8291599999999999</v>
      </c>
      <c r="N85">
        <v>2016</v>
      </c>
    </row>
    <row r="86" spans="1:14" x14ac:dyDescent="0.3">
      <c r="A86" s="1" t="s">
        <v>97</v>
      </c>
      <c r="B86" s="1" t="s">
        <v>49</v>
      </c>
      <c r="C86">
        <v>85</v>
      </c>
      <c r="D86">
        <v>5.1849999999999996</v>
      </c>
      <c r="E86">
        <v>5.1029999999999998</v>
      </c>
      <c r="F86">
        <v>5.2670000000000003</v>
      </c>
      <c r="G86">
        <v>0.56044000000000005</v>
      </c>
      <c r="H86">
        <v>0.95433999999999997</v>
      </c>
      <c r="I86">
        <v>0.55449000000000004</v>
      </c>
      <c r="J86">
        <v>0.40211999999999998</v>
      </c>
      <c r="K86">
        <v>4.7620000000000003E-2</v>
      </c>
      <c r="L86">
        <v>0.38431999999999999</v>
      </c>
      <c r="M86">
        <v>2.2813599999999998</v>
      </c>
      <c r="N86">
        <v>2016</v>
      </c>
    </row>
    <row r="87" spans="1:14" x14ac:dyDescent="0.3">
      <c r="A87" s="1" t="s">
        <v>108</v>
      </c>
      <c r="B87" s="1" t="s">
        <v>49</v>
      </c>
      <c r="C87">
        <v>86</v>
      </c>
      <c r="D87">
        <v>5.1769999999999996</v>
      </c>
      <c r="E87">
        <v>5.0830000000000002</v>
      </c>
      <c r="F87">
        <v>5.2709999999999999</v>
      </c>
      <c r="G87">
        <v>1.03437</v>
      </c>
      <c r="H87">
        <v>0.81328999999999996</v>
      </c>
      <c r="I87">
        <v>0.64580000000000004</v>
      </c>
      <c r="J87">
        <v>0.15717999999999999</v>
      </c>
      <c r="K87">
        <v>4.3389999999999998E-2</v>
      </c>
      <c r="L87">
        <v>0.20737</v>
      </c>
      <c r="M87">
        <v>2.2753899999999998</v>
      </c>
      <c r="N87">
        <v>2016</v>
      </c>
    </row>
    <row r="88" spans="1:14" x14ac:dyDescent="0.3">
      <c r="A88" s="1" t="s">
        <v>117</v>
      </c>
      <c r="B88" s="1" t="s">
        <v>49</v>
      </c>
      <c r="C88">
        <v>87</v>
      </c>
      <c r="D88">
        <v>5.1630000000000003</v>
      </c>
      <c r="E88">
        <v>5.0629999999999997</v>
      </c>
      <c r="F88">
        <v>5.2629999999999999</v>
      </c>
      <c r="G88">
        <v>0.93383000000000005</v>
      </c>
      <c r="H88">
        <v>0.64366999999999996</v>
      </c>
      <c r="I88">
        <v>0.70765999999999996</v>
      </c>
      <c r="J88">
        <v>9.511E-2</v>
      </c>
      <c r="K88">
        <v>0</v>
      </c>
      <c r="L88">
        <v>0.29888999999999999</v>
      </c>
      <c r="M88">
        <v>2.4840599999999999</v>
      </c>
      <c r="N88">
        <v>2016</v>
      </c>
    </row>
    <row r="89" spans="1:14" x14ac:dyDescent="0.3">
      <c r="A89" s="1" t="s">
        <v>104</v>
      </c>
      <c r="B89" s="1" t="s">
        <v>49</v>
      </c>
      <c r="C89">
        <v>88</v>
      </c>
      <c r="D89">
        <v>5.1609999999999996</v>
      </c>
      <c r="E89">
        <v>5.0549999999999997</v>
      </c>
      <c r="F89">
        <v>5.2670000000000003</v>
      </c>
      <c r="G89">
        <v>1.0783799999999999</v>
      </c>
      <c r="H89">
        <v>0.74173</v>
      </c>
      <c r="I89">
        <v>0.63532999999999995</v>
      </c>
      <c r="J89">
        <v>0.15110999999999999</v>
      </c>
      <c r="K89">
        <v>0.12720999999999999</v>
      </c>
      <c r="L89">
        <v>0.17191000000000001</v>
      </c>
      <c r="M89">
        <v>2.2553100000000001</v>
      </c>
      <c r="N89">
        <v>2016</v>
      </c>
    </row>
    <row r="90" spans="1:14" x14ac:dyDescent="0.3">
      <c r="A90" s="1" t="s">
        <v>119</v>
      </c>
      <c r="B90" s="1" t="s">
        <v>28</v>
      </c>
      <c r="C90">
        <v>89</v>
      </c>
      <c r="D90">
        <v>5.1550000000000002</v>
      </c>
      <c r="E90">
        <v>5.0369999999999999</v>
      </c>
      <c r="F90">
        <v>5.2729999999999997</v>
      </c>
      <c r="G90">
        <v>1.0278700000000001</v>
      </c>
      <c r="H90">
        <v>0.99495999999999996</v>
      </c>
      <c r="I90">
        <v>0.57669000000000004</v>
      </c>
      <c r="J90">
        <v>0.52259</v>
      </c>
      <c r="K90">
        <v>0.12372</v>
      </c>
      <c r="L90">
        <v>0.21285999999999999</v>
      </c>
      <c r="M90">
        <v>1.6962600000000001</v>
      </c>
      <c r="N90">
        <v>2016</v>
      </c>
    </row>
    <row r="91" spans="1:14" x14ac:dyDescent="0.3">
      <c r="A91" s="1" t="s">
        <v>113</v>
      </c>
      <c r="B91" s="1" t="s">
        <v>26</v>
      </c>
      <c r="C91">
        <v>90</v>
      </c>
      <c r="D91">
        <v>5.1509999999999998</v>
      </c>
      <c r="E91">
        <v>5.0579999999999998</v>
      </c>
      <c r="F91">
        <v>5.2439999999999998</v>
      </c>
      <c r="G91">
        <v>0.84057999999999999</v>
      </c>
      <c r="H91">
        <v>0.38595000000000002</v>
      </c>
      <c r="I91">
        <v>0.59470999999999996</v>
      </c>
      <c r="J91">
        <v>0.25646000000000002</v>
      </c>
      <c r="K91">
        <v>8.4040000000000004E-2</v>
      </c>
      <c r="L91">
        <v>4.0529999999999997E-2</v>
      </c>
      <c r="M91">
        <v>2.9489100000000001</v>
      </c>
      <c r="N91">
        <v>2016</v>
      </c>
    </row>
    <row r="92" spans="1:14" x14ac:dyDescent="0.3">
      <c r="A92" s="1" t="s">
        <v>125</v>
      </c>
      <c r="B92" s="1" t="s">
        <v>49</v>
      </c>
      <c r="C92">
        <v>91</v>
      </c>
      <c r="D92">
        <v>5.1449999999999996</v>
      </c>
      <c r="E92">
        <v>5.056</v>
      </c>
      <c r="F92">
        <v>5.234</v>
      </c>
      <c r="G92">
        <v>1.24142</v>
      </c>
      <c r="H92">
        <v>0.93164000000000002</v>
      </c>
      <c r="I92">
        <v>0.67608000000000001</v>
      </c>
      <c r="J92">
        <v>0.19769999999999999</v>
      </c>
      <c r="K92">
        <v>4.4720000000000003E-2</v>
      </c>
      <c r="L92">
        <v>9.9000000000000005E-2</v>
      </c>
      <c r="M92">
        <v>1.9547300000000001</v>
      </c>
      <c r="N92">
        <v>2016</v>
      </c>
    </row>
    <row r="93" spans="1:14" x14ac:dyDescent="0.3">
      <c r="A93" s="1" t="s">
        <v>102</v>
      </c>
      <c r="B93" s="1" t="s">
        <v>100</v>
      </c>
      <c r="C93">
        <v>92</v>
      </c>
      <c r="D93">
        <v>5.1319999999999997</v>
      </c>
      <c r="E93">
        <v>5.0380000000000003</v>
      </c>
      <c r="F93">
        <v>5.226</v>
      </c>
      <c r="G93">
        <v>0.68815999999999999</v>
      </c>
      <c r="H93">
        <v>0.26135000000000003</v>
      </c>
      <c r="I93">
        <v>0.40305999999999997</v>
      </c>
      <c r="J93">
        <v>0.14621999999999999</v>
      </c>
      <c r="K93">
        <v>0.13880000000000001</v>
      </c>
      <c r="L93">
        <v>0.31185000000000002</v>
      </c>
      <c r="M93">
        <v>3.1828599999999998</v>
      </c>
      <c r="N93">
        <v>2016</v>
      </c>
    </row>
    <row r="94" spans="1:14" x14ac:dyDescent="0.3">
      <c r="A94" s="1" t="s">
        <v>124</v>
      </c>
      <c r="B94" s="1" t="s">
        <v>26</v>
      </c>
      <c r="C94">
        <v>93</v>
      </c>
      <c r="D94">
        <v>5.1289999999999996</v>
      </c>
      <c r="E94">
        <v>5.0309999999999997</v>
      </c>
      <c r="F94">
        <v>5.2270000000000003</v>
      </c>
      <c r="G94">
        <v>1.1226799999999999</v>
      </c>
      <c r="H94">
        <v>0.64183999999999997</v>
      </c>
      <c r="I94">
        <v>0.76171</v>
      </c>
      <c r="J94">
        <v>0.26228000000000001</v>
      </c>
      <c r="K94">
        <v>3.0609999999999998E-2</v>
      </c>
      <c r="L94">
        <v>0.23693</v>
      </c>
      <c r="M94">
        <v>2.0733899999999998</v>
      </c>
      <c r="N94">
        <v>2016</v>
      </c>
    </row>
    <row r="95" spans="1:14" x14ac:dyDescent="0.3">
      <c r="A95" s="1" t="s">
        <v>109</v>
      </c>
      <c r="B95" s="1" t="s">
        <v>13</v>
      </c>
      <c r="C95">
        <v>94</v>
      </c>
      <c r="D95">
        <v>5.1230000000000002</v>
      </c>
      <c r="E95">
        <v>5.03</v>
      </c>
      <c r="F95">
        <v>5.2160000000000002</v>
      </c>
      <c r="G95">
        <v>1.27607</v>
      </c>
      <c r="H95">
        <v>0.94367000000000001</v>
      </c>
      <c r="I95">
        <v>0.79362999999999995</v>
      </c>
      <c r="J95">
        <v>0.44727</v>
      </c>
      <c r="K95">
        <v>1.521E-2</v>
      </c>
      <c r="L95">
        <v>0.11691</v>
      </c>
      <c r="M95">
        <v>1.5301499999999999</v>
      </c>
      <c r="N95">
        <v>2016</v>
      </c>
    </row>
    <row r="96" spans="1:14" x14ac:dyDescent="0.3">
      <c r="A96" s="1" t="s">
        <v>114</v>
      </c>
      <c r="B96" s="1" t="s">
        <v>49</v>
      </c>
      <c r="C96">
        <v>95</v>
      </c>
      <c r="D96">
        <v>5.1210000000000004</v>
      </c>
      <c r="E96">
        <v>5.0170000000000003</v>
      </c>
      <c r="F96">
        <v>5.2249999999999996</v>
      </c>
      <c r="G96">
        <v>1.0193000000000001</v>
      </c>
      <c r="H96">
        <v>0.78236000000000006</v>
      </c>
      <c r="I96">
        <v>0.64737999999999996</v>
      </c>
      <c r="J96">
        <v>0.27667999999999998</v>
      </c>
      <c r="K96">
        <v>7.0470000000000005E-2</v>
      </c>
      <c r="L96">
        <v>0.23507</v>
      </c>
      <c r="M96">
        <v>2.0894699999999999</v>
      </c>
      <c r="N96">
        <v>2016</v>
      </c>
    </row>
    <row r="97" spans="1:14" x14ac:dyDescent="0.3">
      <c r="A97" s="1" t="s">
        <v>95</v>
      </c>
      <c r="B97" s="1" t="s">
        <v>41</v>
      </c>
      <c r="C97">
        <v>96</v>
      </c>
      <c r="D97">
        <v>5.0609999999999999</v>
      </c>
      <c r="E97">
        <v>4.9909999999999997</v>
      </c>
      <c r="F97">
        <v>5.1310000000000002</v>
      </c>
      <c r="G97">
        <v>0.74036999999999997</v>
      </c>
      <c r="H97">
        <v>0.79117000000000004</v>
      </c>
      <c r="I97">
        <v>0.66156999999999999</v>
      </c>
      <c r="J97">
        <v>0.55954000000000004</v>
      </c>
      <c r="K97">
        <v>0.11556</v>
      </c>
      <c r="L97">
        <v>0.25074999999999997</v>
      </c>
      <c r="M97">
        <v>1.9418</v>
      </c>
      <c r="N97">
        <v>2016</v>
      </c>
    </row>
    <row r="98" spans="1:14" x14ac:dyDescent="0.3">
      <c r="A98" s="1" t="s">
        <v>185</v>
      </c>
      <c r="B98" s="1" t="s">
        <v>91</v>
      </c>
      <c r="C98">
        <v>97</v>
      </c>
      <c r="D98">
        <v>5.0570000000000004</v>
      </c>
      <c r="E98">
        <v>4.9340000000000002</v>
      </c>
      <c r="F98">
        <v>5.18</v>
      </c>
      <c r="G98">
        <v>0.25557999999999997</v>
      </c>
      <c r="H98">
        <v>0.75861999999999996</v>
      </c>
      <c r="I98">
        <v>0.33107999999999999</v>
      </c>
      <c r="J98">
        <v>0.39129999999999998</v>
      </c>
      <c r="K98">
        <v>0.36793999999999999</v>
      </c>
      <c r="L98">
        <v>0.51478999999999997</v>
      </c>
      <c r="M98">
        <v>2.4380099999999998</v>
      </c>
      <c r="N98">
        <v>2016</v>
      </c>
    </row>
    <row r="99" spans="1:14" x14ac:dyDescent="0.3">
      <c r="A99" s="1" t="s">
        <v>128</v>
      </c>
      <c r="B99" s="1" t="s">
        <v>26</v>
      </c>
      <c r="C99">
        <v>98</v>
      </c>
      <c r="D99">
        <v>5.0449999999999999</v>
      </c>
      <c r="E99">
        <v>4.9649999999999999</v>
      </c>
      <c r="F99">
        <v>5.125</v>
      </c>
      <c r="G99">
        <v>0.97724</v>
      </c>
      <c r="H99">
        <v>0.43164999999999998</v>
      </c>
      <c r="I99">
        <v>0.59577000000000002</v>
      </c>
      <c r="J99">
        <v>0.23552999999999999</v>
      </c>
      <c r="K99">
        <v>8.1699999999999995E-2</v>
      </c>
      <c r="L99">
        <v>3.9359999999999999E-2</v>
      </c>
      <c r="M99">
        <v>2.6841300000000001</v>
      </c>
      <c r="N99">
        <v>2016</v>
      </c>
    </row>
    <row r="100" spans="1:14" x14ac:dyDescent="0.3">
      <c r="A100" s="1" t="s">
        <v>123</v>
      </c>
      <c r="B100" s="1" t="s">
        <v>13</v>
      </c>
      <c r="C100">
        <v>99</v>
      </c>
      <c r="D100">
        <v>5.0330000000000004</v>
      </c>
      <c r="E100">
        <v>4.9349999999999996</v>
      </c>
      <c r="F100">
        <v>5.1310000000000002</v>
      </c>
      <c r="G100">
        <v>1.2488600000000001</v>
      </c>
      <c r="H100">
        <v>0.75473000000000001</v>
      </c>
      <c r="I100">
        <v>0.80028999999999995</v>
      </c>
      <c r="J100">
        <v>5.8220000000000001E-2</v>
      </c>
      <c r="K100">
        <v>4.1270000000000001E-2</v>
      </c>
      <c r="L100">
        <v>0</v>
      </c>
      <c r="M100">
        <v>2.1294400000000002</v>
      </c>
      <c r="N100">
        <v>2016</v>
      </c>
    </row>
    <row r="101" spans="1:14" x14ac:dyDescent="0.3">
      <c r="A101" s="1" t="s">
        <v>127</v>
      </c>
      <c r="B101" s="1" t="s">
        <v>49</v>
      </c>
      <c r="C101">
        <v>100</v>
      </c>
      <c r="D101">
        <v>4.9960000000000004</v>
      </c>
      <c r="E101">
        <v>4.923</v>
      </c>
      <c r="F101">
        <v>5.069</v>
      </c>
      <c r="G101">
        <v>0.48835000000000001</v>
      </c>
      <c r="H101">
        <v>0.75602000000000003</v>
      </c>
      <c r="I101">
        <v>0.53119000000000005</v>
      </c>
      <c r="J101">
        <v>0.43408000000000002</v>
      </c>
      <c r="K101">
        <v>0.13508999999999999</v>
      </c>
      <c r="L101">
        <v>0.25997999999999999</v>
      </c>
      <c r="M101">
        <v>2.39106</v>
      </c>
      <c r="N101">
        <v>2016</v>
      </c>
    </row>
    <row r="102" spans="1:14" x14ac:dyDescent="0.3">
      <c r="A102" s="1" t="s">
        <v>121</v>
      </c>
      <c r="B102" s="1" t="s">
        <v>57</v>
      </c>
      <c r="C102">
        <v>101</v>
      </c>
      <c r="D102">
        <v>4.907</v>
      </c>
      <c r="E102">
        <v>4.8380000000000001</v>
      </c>
      <c r="F102">
        <v>4.976</v>
      </c>
      <c r="G102">
        <v>0.98853000000000002</v>
      </c>
      <c r="H102">
        <v>1.0898300000000001</v>
      </c>
      <c r="I102">
        <v>0.55469000000000002</v>
      </c>
      <c r="J102">
        <v>0.35971999999999998</v>
      </c>
      <c r="K102">
        <v>3.2849999999999997E-2</v>
      </c>
      <c r="L102">
        <v>0.34538999999999997</v>
      </c>
      <c r="M102">
        <v>1.53586</v>
      </c>
      <c r="N102">
        <v>2016</v>
      </c>
    </row>
    <row r="103" spans="1:14" x14ac:dyDescent="0.3">
      <c r="A103" s="1" t="s">
        <v>120</v>
      </c>
      <c r="B103" s="1" t="s">
        <v>41</v>
      </c>
      <c r="C103">
        <v>102</v>
      </c>
      <c r="D103">
        <v>4.8760000000000003</v>
      </c>
      <c r="E103">
        <v>4.742</v>
      </c>
      <c r="F103">
        <v>5.01</v>
      </c>
      <c r="G103">
        <v>0.68042000000000002</v>
      </c>
      <c r="H103">
        <v>0.54969999999999997</v>
      </c>
      <c r="I103">
        <v>0.38290999999999997</v>
      </c>
      <c r="J103">
        <v>0.52168000000000003</v>
      </c>
      <c r="K103">
        <v>0.22423000000000001</v>
      </c>
      <c r="L103">
        <v>0.43079000000000001</v>
      </c>
      <c r="M103">
        <v>2.0863700000000001</v>
      </c>
      <c r="N103">
        <v>2016</v>
      </c>
    </row>
    <row r="104" spans="1:14" x14ac:dyDescent="0.3">
      <c r="A104" s="1" t="s">
        <v>98</v>
      </c>
      <c r="B104" s="1" t="s">
        <v>91</v>
      </c>
      <c r="C104">
        <v>103</v>
      </c>
      <c r="D104">
        <v>4.875</v>
      </c>
      <c r="E104">
        <v>4.75</v>
      </c>
      <c r="F104">
        <v>5</v>
      </c>
      <c r="G104">
        <v>0.75216000000000005</v>
      </c>
      <c r="H104">
        <v>0.64498</v>
      </c>
      <c r="I104">
        <v>5.108E-2</v>
      </c>
      <c r="J104">
        <v>0.27854000000000001</v>
      </c>
      <c r="K104">
        <v>3.0499999999999999E-2</v>
      </c>
      <c r="L104">
        <v>0.23219000000000001</v>
      </c>
      <c r="M104">
        <v>2.8858600000000001</v>
      </c>
      <c r="N104">
        <v>2016</v>
      </c>
    </row>
    <row r="105" spans="1:14" x14ac:dyDescent="0.3">
      <c r="A105" s="1" t="s">
        <v>126</v>
      </c>
      <c r="B105" s="1" t="s">
        <v>28</v>
      </c>
      <c r="C105">
        <v>104</v>
      </c>
      <c r="D105">
        <v>4.8710000000000004</v>
      </c>
      <c r="E105">
        <v>4.75</v>
      </c>
      <c r="F105">
        <v>4.992</v>
      </c>
      <c r="G105">
        <v>0.69428999999999996</v>
      </c>
      <c r="H105">
        <v>0.75595999999999997</v>
      </c>
      <c r="I105">
        <v>0.58382999999999996</v>
      </c>
      <c r="J105">
        <v>0.26755000000000001</v>
      </c>
      <c r="K105">
        <v>6.9059999999999996E-2</v>
      </c>
      <c r="L105">
        <v>0.2044</v>
      </c>
      <c r="M105">
        <v>2.2955100000000002</v>
      </c>
      <c r="N105">
        <v>2016</v>
      </c>
    </row>
    <row r="106" spans="1:14" x14ac:dyDescent="0.3">
      <c r="A106" s="1" t="s">
        <v>131</v>
      </c>
      <c r="B106" s="1" t="s">
        <v>26</v>
      </c>
      <c r="C106">
        <v>105</v>
      </c>
      <c r="D106">
        <v>4.8129999999999997</v>
      </c>
      <c r="E106">
        <v>4.7030000000000003</v>
      </c>
      <c r="F106">
        <v>4.923</v>
      </c>
      <c r="G106">
        <v>1.11758</v>
      </c>
      <c r="H106">
        <v>0.38857000000000003</v>
      </c>
      <c r="I106">
        <v>0.64232</v>
      </c>
      <c r="J106">
        <v>0.22544</v>
      </c>
      <c r="K106">
        <v>5.57E-2</v>
      </c>
      <c r="L106">
        <v>0.38538</v>
      </c>
      <c r="M106">
        <v>1.99817</v>
      </c>
      <c r="N106">
        <v>2016</v>
      </c>
    </row>
    <row r="107" spans="1:14" x14ac:dyDescent="0.3">
      <c r="A107" s="1" t="s">
        <v>106</v>
      </c>
      <c r="B107" s="1" t="s">
        <v>91</v>
      </c>
      <c r="C107">
        <v>106</v>
      </c>
      <c r="D107">
        <v>4.7949999999999999</v>
      </c>
      <c r="E107">
        <v>4.6449999999999996</v>
      </c>
      <c r="F107">
        <v>4.9450000000000003</v>
      </c>
      <c r="G107">
        <v>0.61202000000000001</v>
      </c>
      <c r="H107">
        <v>0.63759999999999994</v>
      </c>
      <c r="I107">
        <v>0.23573</v>
      </c>
      <c r="J107">
        <v>0.42662</v>
      </c>
      <c r="K107">
        <v>0.11479</v>
      </c>
      <c r="L107">
        <v>0.17866000000000001</v>
      </c>
      <c r="M107">
        <v>2.5899100000000002</v>
      </c>
      <c r="N107">
        <v>2016</v>
      </c>
    </row>
    <row r="108" spans="1:14" x14ac:dyDescent="0.3">
      <c r="A108" s="1" t="s">
        <v>142</v>
      </c>
      <c r="B108" s="1" t="s">
        <v>100</v>
      </c>
      <c r="C108">
        <v>107</v>
      </c>
      <c r="D108">
        <v>4.7930000000000001</v>
      </c>
      <c r="E108">
        <v>4.6980000000000004</v>
      </c>
      <c r="F108">
        <v>4.8879999999999999</v>
      </c>
      <c r="G108">
        <v>0.44625999999999999</v>
      </c>
      <c r="H108">
        <v>0.69699</v>
      </c>
      <c r="I108">
        <v>0.50073000000000001</v>
      </c>
      <c r="J108">
        <v>0.37012</v>
      </c>
      <c r="K108">
        <v>7.0080000000000003E-2</v>
      </c>
      <c r="L108">
        <v>0.38159999999999999</v>
      </c>
      <c r="M108">
        <v>2.32694</v>
      </c>
      <c r="N108">
        <v>2016</v>
      </c>
    </row>
    <row r="109" spans="1:14" x14ac:dyDescent="0.3">
      <c r="A109" s="1" t="s">
        <v>129</v>
      </c>
      <c r="B109" s="1" t="s">
        <v>26</v>
      </c>
      <c r="C109">
        <v>108</v>
      </c>
      <c r="D109">
        <v>4.7539999999999996</v>
      </c>
      <c r="E109">
        <v>4.649</v>
      </c>
      <c r="F109">
        <v>4.859</v>
      </c>
      <c r="G109">
        <v>0.67023999999999995</v>
      </c>
      <c r="H109">
        <v>0.71628999999999998</v>
      </c>
      <c r="I109">
        <v>0.56843999999999995</v>
      </c>
      <c r="J109">
        <v>0.17743999999999999</v>
      </c>
      <c r="K109">
        <v>0.10613</v>
      </c>
      <c r="L109">
        <v>0.11154</v>
      </c>
      <c r="M109">
        <v>2.4036400000000002</v>
      </c>
      <c r="N109">
        <v>2016</v>
      </c>
    </row>
    <row r="110" spans="1:14" x14ac:dyDescent="0.3">
      <c r="A110" s="1" t="s">
        <v>116</v>
      </c>
      <c r="B110" s="1" t="s">
        <v>49</v>
      </c>
      <c r="C110">
        <v>109</v>
      </c>
      <c r="D110">
        <v>4.6550000000000002</v>
      </c>
      <c r="E110">
        <v>4.5460000000000003</v>
      </c>
      <c r="F110">
        <v>4.7640000000000002</v>
      </c>
      <c r="G110">
        <v>0.95530000000000004</v>
      </c>
      <c r="H110">
        <v>0.50163000000000002</v>
      </c>
      <c r="I110">
        <v>0.73007</v>
      </c>
      <c r="J110">
        <v>0.31866</v>
      </c>
      <c r="K110">
        <v>5.3010000000000002E-2</v>
      </c>
      <c r="L110">
        <v>0.16839999999999999</v>
      </c>
      <c r="M110">
        <v>1.9281600000000001</v>
      </c>
      <c r="N110">
        <v>2016</v>
      </c>
    </row>
    <row r="111" spans="1:14" x14ac:dyDescent="0.3">
      <c r="A111" s="1" t="s">
        <v>130</v>
      </c>
      <c r="B111" s="1" t="s">
        <v>100</v>
      </c>
      <c r="C111">
        <v>110</v>
      </c>
      <c r="D111">
        <v>4.6429999999999998</v>
      </c>
      <c r="E111">
        <v>4.5599999999999996</v>
      </c>
      <c r="F111">
        <v>4.726</v>
      </c>
      <c r="G111">
        <v>0.54176999999999997</v>
      </c>
      <c r="H111">
        <v>0.24748999999999999</v>
      </c>
      <c r="I111">
        <v>0.52988999999999997</v>
      </c>
      <c r="J111">
        <v>0.39778000000000002</v>
      </c>
      <c r="K111">
        <v>0.12583</v>
      </c>
      <c r="L111">
        <v>0.19131999999999999</v>
      </c>
      <c r="M111">
        <v>2.6090399999999998</v>
      </c>
      <c r="N111">
        <v>2016</v>
      </c>
    </row>
    <row r="112" spans="1:14" x14ac:dyDescent="0.3">
      <c r="A112" s="1" t="s">
        <v>144</v>
      </c>
      <c r="B112" s="1" t="s">
        <v>91</v>
      </c>
      <c r="C112">
        <v>111</v>
      </c>
      <c r="D112">
        <v>4.6349999999999998</v>
      </c>
      <c r="E112">
        <v>4.5049999999999999</v>
      </c>
      <c r="F112">
        <v>4.7649999999999997</v>
      </c>
      <c r="G112">
        <v>0.36485000000000001</v>
      </c>
      <c r="H112">
        <v>0.628</v>
      </c>
      <c r="I112">
        <v>0</v>
      </c>
      <c r="J112">
        <v>0.30685000000000001</v>
      </c>
      <c r="K112">
        <v>8.1960000000000005E-2</v>
      </c>
      <c r="L112">
        <v>0.23896999999999999</v>
      </c>
      <c r="M112">
        <v>3.0140199999999999</v>
      </c>
      <c r="N112">
        <v>2016</v>
      </c>
    </row>
    <row r="113" spans="1:14" x14ac:dyDescent="0.3">
      <c r="A113" s="1" t="s">
        <v>133</v>
      </c>
      <c r="B113" s="1" t="s">
        <v>26</v>
      </c>
      <c r="C113">
        <v>112</v>
      </c>
      <c r="D113">
        <v>4.5750000000000002</v>
      </c>
      <c r="E113">
        <v>4.4459999999999997</v>
      </c>
      <c r="F113">
        <v>4.7039999999999997</v>
      </c>
      <c r="G113">
        <v>1.07474</v>
      </c>
      <c r="H113">
        <v>0.59204999999999997</v>
      </c>
      <c r="I113">
        <v>0.51075999999999999</v>
      </c>
      <c r="J113">
        <v>0.24856</v>
      </c>
      <c r="K113">
        <v>0.13636000000000001</v>
      </c>
      <c r="L113">
        <v>0.19589000000000001</v>
      </c>
      <c r="M113">
        <v>1.81657</v>
      </c>
      <c r="N113">
        <v>2016</v>
      </c>
    </row>
    <row r="114" spans="1:14" x14ac:dyDescent="0.3">
      <c r="A114" s="1" t="s">
        <v>186</v>
      </c>
      <c r="B114" s="1" t="s">
        <v>91</v>
      </c>
      <c r="C114">
        <v>113</v>
      </c>
      <c r="D114">
        <v>4.5739999999999998</v>
      </c>
      <c r="E114">
        <v>4.3739999999999997</v>
      </c>
      <c r="F114">
        <v>4.774</v>
      </c>
      <c r="G114">
        <v>0.93286999999999998</v>
      </c>
      <c r="H114">
        <v>0.70362000000000002</v>
      </c>
      <c r="I114">
        <v>0.34744999999999998</v>
      </c>
      <c r="J114">
        <v>0.48614000000000002</v>
      </c>
      <c r="K114">
        <v>0.10398</v>
      </c>
      <c r="L114">
        <v>7.7950000000000005E-2</v>
      </c>
      <c r="M114">
        <v>1.92198</v>
      </c>
      <c r="N114">
        <v>2016</v>
      </c>
    </row>
    <row r="115" spans="1:14" x14ac:dyDescent="0.3">
      <c r="A115" s="1" t="s">
        <v>154</v>
      </c>
      <c r="B115" s="1" t="s">
        <v>91</v>
      </c>
      <c r="C115">
        <v>114</v>
      </c>
      <c r="D115">
        <v>4.5129999999999999</v>
      </c>
      <c r="E115">
        <v>4.4169999999999998</v>
      </c>
      <c r="F115">
        <v>4.609</v>
      </c>
      <c r="G115">
        <v>0.52497000000000005</v>
      </c>
      <c r="H115">
        <v>0.62541999999999998</v>
      </c>
      <c r="I115">
        <v>0.12698000000000001</v>
      </c>
      <c r="J115">
        <v>0.42736000000000002</v>
      </c>
      <c r="K115">
        <v>6.1260000000000002E-2</v>
      </c>
      <c r="L115">
        <v>0.2268</v>
      </c>
      <c r="M115">
        <v>2.5198</v>
      </c>
      <c r="N115">
        <v>2016</v>
      </c>
    </row>
    <row r="116" spans="1:14" x14ac:dyDescent="0.3">
      <c r="A116" s="1" t="s">
        <v>143</v>
      </c>
      <c r="B116" s="1" t="s">
        <v>91</v>
      </c>
      <c r="C116">
        <v>115</v>
      </c>
      <c r="D116">
        <v>4.508</v>
      </c>
      <c r="E116">
        <v>4.4249999999999998</v>
      </c>
      <c r="F116">
        <v>4.5910000000000002</v>
      </c>
      <c r="G116">
        <v>0.29282999999999998</v>
      </c>
      <c r="H116">
        <v>0.37931999999999999</v>
      </c>
      <c r="I116">
        <v>0.34577999999999998</v>
      </c>
      <c r="J116">
        <v>0.36703000000000002</v>
      </c>
      <c r="K116">
        <v>0.17169999999999999</v>
      </c>
      <c r="L116">
        <v>0.29521999999999998</v>
      </c>
      <c r="M116">
        <v>2.6561400000000002</v>
      </c>
      <c r="N116">
        <v>2016</v>
      </c>
    </row>
    <row r="117" spans="1:14" x14ac:dyDescent="0.3">
      <c r="A117" s="1" t="s">
        <v>134</v>
      </c>
      <c r="B117" s="1" t="s">
        <v>91</v>
      </c>
      <c r="C117">
        <v>116</v>
      </c>
      <c r="D117">
        <v>4.4589999999999996</v>
      </c>
      <c r="E117">
        <v>4.3710000000000004</v>
      </c>
      <c r="F117">
        <v>4.5469999999999997</v>
      </c>
      <c r="G117">
        <v>1.02416</v>
      </c>
      <c r="H117">
        <v>0.96052999999999999</v>
      </c>
      <c r="I117">
        <v>0.18611</v>
      </c>
      <c r="J117">
        <v>0.42482999999999999</v>
      </c>
      <c r="K117">
        <v>8.4150000000000003E-2</v>
      </c>
      <c r="L117">
        <v>0.13655999999999999</v>
      </c>
      <c r="M117">
        <v>1.6422699999999999</v>
      </c>
      <c r="N117">
        <v>2016</v>
      </c>
    </row>
    <row r="118" spans="1:14" x14ac:dyDescent="0.3">
      <c r="A118" s="1" t="s">
        <v>153</v>
      </c>
      <c r="B118" s="1" t="s">
        <v>100</v>
      </c>
      <c r="C118">
        <v>117</v>
      </c>
      <c r="D118">
        <v>4.415</v>
      </c>
      <c r="E118">
        <v>4.3220000000000001</v>
      </c>
      <c r="F118">
        <v>4.508</v>
      </c>
      <c r="G118">
        <v>0.97318000000000005</v>
      </c>
      <c r="H118">
        <v>0.84782999999999997</v>
      </c>
      <c r="I118">
        <v>0.62007000000000001</v>
      </c>
      <c r="J118">
        <v>0.50817000000000001</v>
      </c>
      <c r="K118">
        <v>7.9640000000000002E-2</v>
      </c>
      <c r="L118">
        <v>0.46977999999999998</v>
      </c>
      <c r="M118">
        <v>0.91681000000000001</v>
      </c>
      <c r="N118">
        <v>2016</v>
      </c>
    </row>
    <row r="119" spans="1:14" x14ac:dyDescent="0.3">
      <c r="A119" s="1" t="s">
        <v>138</v>
      </c>
      <c r="B119" s="1" t="s">
        <v>100</v>
      </c>
      <c r="C119">
        <v>118</v>
      </c>
      <c r="D119">
        <v>4.4039999999999999</v>
      </c>
      <c r="E119">
        <v>4.351</v>
      </c>
      <c r="F119">
        <v>4.4569999999999999</v>
      </c>
      <c r="G119">
        <v>0.74036000000000002</v>
      </c>
      <c r="H119">
        <v>0.29247000000000001</v>
      </c>
      <c r="I119">
        <v>0.45090999999999998</v>
      </c>
      <c r="J119">
        <v>0.40284999999999999</v>
      </c>
      <c r="K119">
        <v>8.7220000000000006E-2</v>
      </c>
      <c r="L119">
        <v>0.25028</v>
      </c>
      <c r="M119">
        <v>2.18032</v>
      </c>
      <c r="N119">
        <v>2016</v>
      </c>
    </row>
    <row r="120" spans="1:14" x14ac:dyDescent="0.3">
      <c r="A120" s="1" t="s">
        <v>150</v>
      </c>
      <c r="B120" s="1" t="s">
        <v>41</v>
      </c>
      <c r="C120">
        <v>119</v>
      </c>
      <c r="D120">
        <v>4.3949999999999996</v>
      </c>
      <c r="E120">
        <v>4.327</v>
      </c>
      <c r="F120">
        <v>4.4630000000000001</v>
      </c>
      <c r="G120">
        <v>0.34111999999999998</v>
      </c>
      <c r="H120">
        <v>0.69981000000000004</v>
      </c>
      <c r="I120">
        <v>0.39879999999999999</v>
      </c>
      <c r="J120">
        <v>0.42692000000000002</v>
      </c>
      <c r="K120">
        <v>0.20243</v>
      </c>
      <c r="L120">
        <v>0.81971000000000005</v>
      </c>
      <c r="M120">
        <v>1.5065500000000001</v>
      </c>
      <c r="N120">
        <v>2016</v>
      </c>
    </row>
    <row r="121" spans="1:14" x14ac:dyDescent="0.3">
      <c r="A121" s="1" t="s">
        <v>156</v>
      </c>
      <c r="B121" s="1" t="s">
        <v>26</v>
      </c>
      <c r="C121">
        <v>120</v>
      </c>
      <c r="D121">
        <v>4.3620000000000001</v>
      </c>
      <c r="E121">
        <v>4.2590000000000003</v>
      </c>
      <c r="F121">
        <v>4.4649999999999999</v>
      </c>
      <c r="G121">
        <v>0.95394999999999996</v>
      </c>
      <c r="H121">
        <v>0.49813000000000002</v>
      </c>
      <c r="I121">
        <v>0.52115999999999996</v>
      </c>
      <c r="J121">
        <v>0.18847</v>
      </c>
      <c r="K121">
        <v>0.10392999999999999</v>
      </c>
      <c r="L121">
        <v>0.12706000000000001</v>
      </c>
      <c r="M121">
        <v>1.96895</v>
      </c>
      <c r="N121">
        <v>2016</v>
      </c>
    </row>
    <row r="122" spans="1:14" x14ac:dyDescent="0.3">
      <c r="A122" s="1" t="s">
        <v>148</v>
      </c>
      <c r="B122" s="1" t="s">
        <v>49</v>
      </c>
      <c r="C122">
        <v>121</v>
      </c>
      <c r="D122">
        <v>4.3600000000000003</v>
      </c>
      <c r="E122">
        <v>4.266</v>
      </c>
      <c r="F122">
        <v>4.4539999999999997</v>
      </c>
      <c r="G122">
        <v>0.86085999999999996</v>
      </c>
      <c r="H122">
        <v>0.62477000000000005</v>
      </c>
      <c r="I122">
        <v>0.64083000000000001</v>
      </c>
      <c r="J122">
        <v>0.14036999999999999</v>
      </c>
      <c r="K122">
        <v>3.6159999999999998E-2</v>
      </c>
      <c r="L122">
        <v>7.7929999999999999E-2</v>
      </c>
      <c r="M122">
        <v>1.97864</v>
      </c>
      <c r="N122">
        <v>2016</v>
      </c>
    </row>
    <row r="123" spans="1:14" x14ac:dyDescent="0.3">
      <c r="A123" s="1" t="s">
        <v>146</v>
      </c>
      <c r="B123" s="1" t="s">
        <v>91</v>
      </c>
      <c r="C123">
        <v>122</v>
      </c>
      <c r="D123">
        <v>4.3559999999999999</v>
      </c>
      <c r="E123">
        <v>4.2590000000000003</v>
      </c>
      <c r="F123">
        <v>4.4530000000000003</v>
      </c>
      <c r="G123">
        <v>0.52266999999999997</v>
      </c>
      <c r="H123">
        <v>0.76239999999999997</v>
      </c>
      <c r="I123">
        <v>0.30147000000000002</v>
      </c>
      <c r="J123">
        <v>0.40576000000000001</v>
      </c>
      <c r="K123">
        <v>6.6860000000000003E-2</v>
      </c>
      <c r="L123">
        <v>0.41327999999999998</v>
      </c>
      <c r="M123">
        <v>1.8832599999999999</v>
      </c>
      <c r="N123">
        <v>2016</v>
      </c>
    </row>
    <row r="124" spans="1:14" x14ac:dyDescent="0.3">
      <c r="A124" s="1" t="s">
        <v>132</v>
      </c>
      <c r="B124" s="1" t="s">
        <v>49</v>
      </c>
      <c r="C124">
        <v>123</v>
      </c>
      <c r="D124">
        <v>4.3239999999999998</v>
      </c>
      <c r="E124">
        <v>4.2359999999999998</v>
      </c>
      <c r="F124">
        <v>4.4119999999999999</v>
      </c>
      <c r="G124">
        <v>0.87287000000000003</v>
      </c>
      <c r="H124">
        <v>1.01413</v>
      </c>
      <c r="I124">
        <v>0.58628000000000002</v>
      </c>
      <c r="J124">
        <v>0.12859000000000001</v>
      </c>
      <c r="K124">
        <v>1.8290000000000001E-2</v>
      </c>
      <c r="L124">
        <v>0.20363000000000001</v>
      </c>
      <c r="M124">
        <v>1.5006600000000001</v>
      </c>
      <c r="N124">
        <v>2016</v>
      </c>
    </row>
    <row r="125" spans="1:14" x14ac:dyDescent="0.3">
      <c r="A125" s="1" t="s">
        <v>135</v>
      </c>
      <c r="B125" s="1" t="s">
        <v>91</v>
      </c>
      <c r="C125">
        <v>124</v>
      </c>
      <c r="D125">
        <v>4.2759999999999998</v>
      </c>
      <c r="E125">
        <v>4.1849999999999996</v>
      </c>
      <c r="F125">
        <v>4.367</v>
      </c>
      <c r="G125">
        <v>0.63107000000000002</v>
      </c>
      <c r="H125">
        <v>0.49353000000000002</v>
      </c>
      <c r="I125">
        <v>0.29681000000000002</v>
      </c>
      <c r="J125">
        <v>0.40972999999999998</v>
      </c>
      <c r="K125">
        <v>3.2599999999999997E-2</v>
      </c>
      <c r="L125">
        <v>0.21203</v>
      </c>
      <c r="M125">
        <v>2.2002000000000002</v>
      </c>
      <c r="N125">
        <v>2016</v>
      </c>
    </row>
    <row r="126" spans="1:14" x14ac:dyDescent="0.3">
      <c r="A126" s="1" t="s">
        <v>141</v>
      </c>
      <c r="B126" s="1" t="s">
        <v>91</v>
      </c>
      <c r="C126">
        <v>125</v>
      </c>
      <c r="D126">
        <v>4.2720000000000002</v>
      </c>
      <c r="E126">
        <v>4.1909999999999998</v>
      </c>
      <c r="F126">
        <v>4.3529999999999998</v>
      </c>
      <c r="G126">
        <v>5.6610000000000001E-2</v>
      </c>
      <c r="H126">
        <v>0.80676000000000003</v>
      </c>
      <c r="I126">
        <v>0.188</v>
      </c>
      <c r="J126">
        <v>0.15601999999999999</v>
      </c>
      <c r="K126">
        <v>6.0749999999999998E-2</v>
      </c>
      <c r="L126">
        <v>0.25457999999999997</v>
      </c>
      <c r="M126">
        <v>2.7492399999999999</v>
      </c>
      <c r="N126">
        <v>2016</v>
      </c>
    </row>
    <row r="127" spans="1:14" x14ac:dyDescent="0.3">
      <c r="A127" s="1" t="s">
        <v>151</v>
      </c>
      <c r="B127" s="1" t="s">
        <v>49</v>
      </c>
      <c r="C127">
        <v>126</v>
      </c>
      <c r="D127">
        <v>4.2519999999999998</v>
      </c>
      <c r="E127">
        <v>4.1639999999999997</v>
      </c>
      <c r="F127">
        <v>4.34</v>
      </c>
      <c r="G127">
        <v>0.83792</v>
      </c>
      <c r="H127">
        <v>0.19248999999999999</v>
      </c>
      <c r="I127">
        <v>0.64034999999999997</v>
      </c>
      <c r="J127">
        <v>0.32461000000000001</v>
      </c>
      <c r="K127">
        <v>0.31879999999999997</v>
      </c>
      <c r="L127">
        <v>6.7860000000000004E-2</v>
      </c>
      <c r="M127">
        <v>1.8703099999999999</v>
      </c>
      <c r="N127">
        <v>2016</v>
      </c>
    </row>
    <row r="128" spans="1:14" x14ac:dyDescent="0.3">
      <c r="A128" s="1" t="s">
        <v>160</v>
      </c>
      <c r="B128" s="1" t="s">
        <v>91</v>
      </c>
      <c r="C128">
        <v>127</v>
      </c>
      <c r="D128">
        <v>4.2359999999999998</v>
      </c>
      <c r="E128">
        <v>4.1070000000000002</v>
      </c>
      <c r="F128">
        <v>4.3650000000000002</v>
      </c>
      <c r="G128">
        <v>0.77109000000000005</v>
      </c>
      <c r="H128">
        <v>0.47799000000000003</v>
      </c>
      <c r="I128">
        <v>0.28211999999999998</v>
      </c>
      <c r="J128">
        <v>0.37938</v>
      </c>
      <c r="K128">
        <v>9.7530000000000006E-2</v>
      </c>
      <c r="L128">
        <v>0.12077</v>
      </c>
      <c r="M128">
        <v>2.1068099999999998</v>
      </c>
      <c r="N128">
        <v>2016</v>
      </c>
    </row>
    <row r="129" spans="1:14" x14ac:dyDescent="0.3">
      <c r="A129" s="1" t="s">
        <v>163</v>
      </c>
      <c r="B129" s="1" t="s">
        <v>91</v>
      </c>
      <c r="C129">
        <v>128</v>
      </c>
      <c r="D129">
        <v>4.2190000000000003</v>
      </c>
      <c r="E129">
        <v>4.1509999999999998</v>
      </c>
      <c r="F129">
        <v>4.2869999999999999</v>
      </c>
      <c r="G129">
        <v>0.44313999999999998</v>
      </c>
      <c r="H129">
        <v>0.77415999999999996</v>
      </c>
      <c r="I129">
        <v>0.40456999999999999</v>
      </c>
      <c r="J129">
        <v>0.31056</v>
      </c>
      <c r="K129">
        <v>0.11681</v>
      </c>
      <c r="L129">
        <v>0.19103000000000001</v>
      </c>
      <c r="M129">
        <v>1.97861</v>
      </c>
      <c r="N129">
        <v>2016</v>
      </c>
    </row>
    <row r="130" spans="1:14" x14ac:dyDescent="0.3">
      <c r="A130" s="1" t="s">
        <v>155</v>
      </c>
      <c r="B130" s="1" t="s">
        <v>49</v>
      </c>
      <c r="C130">
        <v>129</v>
      </c>
      <c r="D130">
        <v>4.2169999999999996</v>
      </c>
      <c r="E130">
        <v>4.1040000000000001</v>
      </c>
      <c r="F130">
        <v>4.33</v>
      </c>
      <c r="G130">
        <v>1.1130599999999999</v>
      </c>
      <c r="H130">
        <v>0.92542000000000002</v>
      </c>
      <c r="I130">
        <v>0.67806</v>
      </c>
      <c r="J130">
        <v>0.21218999999999999</v>
      </c>
      <c r="K130">
        <v>6.1500000000000001E-3</v>
      </c>
      <c r="L130">
        <v>0.12792999999999999</v>
      </c>
      <c r="M130">
        <v>1.15377</v>
      </c>
      <c r="N130">
        <v>2016</v>
      </c>
    </row>
    <row r="131" spans="1:14" x14ac:dyDescent="0.3">
      <c r="A131" s="1" t="s">
        <v>145</v>
      </c>
      <c r="B131" s="1" t="s">
        <v>91</v>
      </c>
      <c r="C131">
        <v>130</v>
      </c>
      <c r="D131">
        <v>4.2009999999999996</v>
      </c>
      <c r="E131">
        <v>4.1269999999999998</v>
      </c>
      <c r="F131">
        <v>4.2750000000000004</v>
      </c>
      <c r="G131">
        <v>0.61390999999999996</v>
      </c>
      <c r="H131">
        <v>0.84141999999999995</v>
      </c>
      <c r="I131">
        <v>0.28638999999999998</v>
      </c>
      <c r="J131">
        <v>0.1268</v>
      </c>
      <c r="K131">
        <v>0.17954999999999999</v>
      </c>
      <c r="L131">
        <v>0.22686000000000001</v>
      </c>
      <c r="M131">
        <v>1.9262999999999999</v>
      </c>
      <c r="N131">
        <v>2016</v>
      </c>
    </row>
    <row r="132" spans="1:14" x14ac:dyDescent="0.3">
      <c r="A132" s="1" t="s">
        <v>136</v>
      </c>
      <c r="B132" s="1" t="s">
        <v>91</v>
      </c>
      <c r="C132">
        <v>131</v>
      </c>
      <c r="D132">
        <v>4.1929999999999996</v>
      </c>
      <c r="E132">
        <v>4.101</v>
      </c>
      <c r="F132">
        <v>4.2850000000000001</v>
      </c>
      <c r="G132">
        <v>0.35041</v>
      </c>
      <c r="H132">
        <v>0.71477999999999997</v>
      </c>
      <c r="I132">
        <v>0.1595</v>
      </c>
      <c r="J132">
        <v>0.25429000000000002</v>
      </c>
      <c r="K132">
        <v>8.5819999999999994E-2</v>
      </c>
      <c r="L132">
        <v>0.18503</v>
      </c>
      <c r="M132">
        <v>2.4426999999999999</v>
      </c>
      <c r="N132">
        <v>2016</v>
      </c>
    </row>
    <row r="133" spans="1:14" x14ac:dyDescent="0.3">
      <c r="A133" s="1" t="s">
        <v>152</v>
      </c>
      <c r="B133" s="1" t="s">
        <v>91</v>
      </c>
      <c r="C133">
        <v>132</v>
      </c>
      <c r="D133">
        <v>4.1559999999999997</v>
      </c>
      <c r="E133">
        <v>4.0410000000000004</v>
      </c>
      <c r="F133">
        <v>4.2709999999999999</v>
      </c>
      <c r="G133">
        <v>8.7090000000000001E-2</v>
      </c>
      <c r="H133">
        <v>0.14699999999999999</v>
      </c>
      <c r="I133">
        <v>0.29364000000000001</v>
      </c>
      <c r="J133">
        <v>0.4143</v>
      </c>
      <c r="K133">
        <v>7.5639999999999999E-2</v>
      </c>
      <c r="L133">
        <v>0.30968000000000001</v>
      </c>
      <c r="M133">
        <v>2.8285900000000002</v>
      </c>
      <c r="N133">
        <v>2016</v>
      </c>
    </row>
    <row r="134" spans="1:14" x14ac:dyDescent="0.3">
      <c r="A134" s="1" t="s">
        <v>139</v>
      </c>
      <c r="B134" s="1" t="s">
        <v>91</v>
      </c>
      <c r="C134">
        <v>133</v>
      </c>
      <c r="D134">
        <v>4.1390000000000002</v>
      </c>
      <c r="E134">
        <v>3.9279999999999999</v>
      </c>
      <c r="F134">
        <v>4.3499999999999996</v>
      </c>
      <c r="G134">
        <v>0.63068999999999997</v>
      </c>
      <c r="H134">
        <v>0.81928000000000001</v>
      </c>
      <c r="I134">
        <v>0.29759000000000002</v>
      </c>
      <c r="J134">
        <v>0</v>
      </c>
      <c r="K134">
        <v>0.10038999999999999</v>
      </c>
      <c r="L134">
        <v>0.18076999999999999</v>
      </c>
      <c r="M134">
        <v>2.10995</v>
      </c>
      <c r="N134">
        <v>2016</v>
      </c>
    </row>
    <row r="135" spans="1:14" x14ac:dyDescent="0.3">
      <c r="A135" s="1" t="s">
        <v>164</v>
      </c>
      <c r="B135" s="1" t="s">
        <v>91</v>
      </c>
      <c r="C135">
        <v>134</v>
      </c>
      <c r="D135">
        <v>4.1210000000000004</v>
      </c>
      <c r="E135">
        <v>4.03</v>
      </c>
      <c r="F135">
        <v>4.2119999999999997</v>
      </c>
      <c r="G135">
        <v>1.1585099999999999</v>
      </c>
      <c r="H135">
        <v>0.72367999999999999</v>
      </c>
      <c r="I135">
        <v>0.34939999999999999</v>
      </c>
      <c r="J135">
        <v>0.28098000000000001</v>
      </c>
      <c r="K135">
        <v>9.3140000000000001E-2</v>
      </c>
      <c r="L135">
        <v>6.2440000000000002E-2</v>
      </c>
      <c r="M135">
        <v>1.4533199999999999</v>
      </c>
      <c r="N135">
        <v>2016</v>
      </c>
    </row>
    <row r="136" spans="1:14" x14ac:dyDescent="0.3">
      <c r="A136" s="1" t="s">
        <v>159</v>
      </c>
      <c r="B136" s="1" t="s">
        <v>91</v>
      </c>
      <c r="C136">
        <v>135</v>
      </c>
      <c r="D136">
        <v>4.0730000000000004</v>
      </c>
      <c r="E136">
        <v>3.988</v>
      </c>
      <c r="F136">
        <v>4.1580000000000004</v>
      </c>
      <c r="G136">
        <v>0.31291999999999998</v>
      </c>
      <c r="H136">
        <v>0.86333000000000004</v>
      </c>
      <c r="I136">
        <v>0.16347</v>
      </c>
      <c r="J136">
        <v>0.27544000000000002</v>
      </c>
      <c r="K136">
        <v>0.13647000000000001</v>
      </c>
      <c r="L136">
        <v>0.21063999999999999</v>
      </c>
      <c r="M136">
        <v>2.1108699999999998</v>
      </c>
      <c r="N136">
        <v>2016</v>
      </c>
    </row>
    <row r="137" spans="1:14" x14ac:dyDescent="0.3">
      <c r="A137" s="1" t="s">
        <v>140</v>
      </c>
      <c r="B137" s="1" t="s">
        <v>28</v>
      </c>
      <c r="C137">
        <v>136</v>
      </c>
      <c r="D137">
        <v>4.0279999999999996</v>
      </c>
      <c r="E137">
        <v>3.8929999999999998</v>
      </c>
      <c r="F137">
        <v>4.1630000000000003</v>
      </c>
      <c r="G137">
        <v>0.34097</v>
      </c>
      <c r="H137">
        <v>0.29560999999999998</v>
      </c>
      <c r="I137">
        <v>0.27494000000000002</v>
      </c>
      <c r="J137">
        <v>0.12071999999999999</v>
      </c>
      <c r="K137">
        <v>0.14476</v>
      </c>
      <c r="L137">
        <v>0.47958000000000001</v>
      </c>
      <c r="M137">
        <v>2.3711600000000002</v>
      </c>
      <c r="N137">
        <v>2016</v>
      </c>
    </row>
    <row r="138" spans="1:14" x14ac:dyDescent="0.3">
      <c r="A138" s="1" t="s">
        <v>149</v>
      </c>
      <c r="B138" s="1" t="s">
        <v>91</v>
      </c>
      <c r="C138">
        <v>137</v>
      </c>
      <c r="D138">
        <v>3.9740000000000002</v>
      </c>
      <c r="E138">
        <v>3.875</v>
      </c>
      <c r="F138">
        <v>4.0730000000000004</v>
      </c>
      <c r="G138">
        <v>1.09426</v>
      </c>
      <c r="H138">
        <v>0.89185999999999999</v>
      </c>
      <c r="I138">
        <v>0.34752</v>
      </c>
      <c r="J138">
        <v>0.44089</v>
      </c>
      <c r="K138">
        <v>0.10768999999999999</v>
      </c>
      <c r="L138">
        <v>0.12425</v>
      </c>
      <c r="M138">
        <v>0.96740999999999999</v>
      </c>
      <c r="N138">
        <v>2016</v>
      </c>
    </row>
    <row r="139" spans="1:14" x14ac:dyDescent="0.3">
      <c r="A139" s="1" t="s">
        <v>161</v>
      </c>
      <c r="B139" s="1" t="s">
        <v>91</v>
      </c>
      <c r="C139">
        <v>138</v>
      </c>
      <c r="D139">
        <v>3.956</v>
      </c>
      <c r="E139">
        <v>3.86</v>
      </c>
      <c r="F139">
        <v>4.0519999999999996</v>
      </c>
      <c r="G139">
        <v>0.27509</v>
      </c>
      <c r="H139">
        <v>0.60323000000000004</v>
      </c>
      <c r="I139">
        <v>0.29981000000000002</v>
      </c>
      <c r="J139">
        <v>0.15412000000000001</v>
      </c>
      <c r="K139">
        <v>0.18437000000000001</v>
      </c>
      <c r="L139">
        <v>0.1827</v>
      </c>
      <c r="M139">
        <v>2.2563200000000001</v>
      </c>
      <c r="N139">
        <v>2016</v>
      </c>
    </row>
    <row r="140" spans="1:14" x14ac:dyDescent="0.3">
      <c r="A140" s="1" t="s">
        <v>172</v>
      </c>
      <c r="B140" s="1" t="s">
        <v>91</v>
      </c>
      <c r="C140">
        <v>139</v>
      </c>
      <c r="D140">
        <v>3.9159999999999999</v>
      </c>
      <c r="E140">
        <v>3.8260000000000001</v>
      </c>
      <c r="F140">
        <v>4.0060000000000002</v>
      </c>
      <c r="G140">
        <v>0.55506999999999995</v>
      </c>
      <c r="H140">
        <v>0.57576000000000005</v>
      </c>
      <c r="I140">
        <v>4.4760000000000001E-2</v>
      </c>
      <c r="J140">
        <v>0.40662999999999999</v>
      </c>
      <c r="K140">
        <v>0.15529999999999999</v>
      </c>
      <c r="L140">
        <v>0.20338000000000001</v>
      </c>
      <c r="M140">
        <v>1.97478</v>
      </c>
      <c r="N140">
        <v>2016</v>
      </c>
    </row>
    <row r="141" spans="1:14" x14ac:dyDescent="0.3">
      <c r="A141" s="1" t="s">
        <v>166</v>
      </c>
      <c r="B141" s="1" t="s">
        <v>41</v>
      </c>
      <c r="C141">
        <v>140</v>
      </c>
      <c r="D141">
        <v>3.907</v>
      </c>
      <c r="E141">
        <v>3.798</v>
      </c>
      <c r="F141">
        <v>4.016</v>
      </c>
      <c r="G141">
        <v>0.55603999999999998</v>
      </c>
      <c r="H141">
        <v>0.53749999999999998</v>
      </c>
      <c r="I141">
        <v>0.42493999999999998</v>
      </c>
      <c r="J141">
        <v>0.58852000000000004</v>
      </c>
      <c r="K141">
        <v>8.0920000000000006E-2</v>
      </c>
      <c r="L141">
        <v>0.40339000000000003</v>
      </c>
      <c r="M141">
        <v>1.3157300000000001</v>
      </c>
      <c r="N141">
        <v>2016</v>
      </c>
    </row>
    <row r="142" spans="1:14" x14ac:dyDescent="0.3">
      <c r="A142" s="1" t="s">
        <v>158</v>
      </c>
      <c r="B142" s="1" t="s">
        <v>91</v>
      </c>
      <c r="C142">
        <v>141</v>
      </c>
      <c r="D142">
        <v>3.8660000000000001</v>
      </c>
      <c r="E142">
        <v>3.7530000000000001</v>
      </c>
      <c r="F142">
        <v>3.9790000000000001</v>
      </c>
      <c r="G142">
        <v>0.84731000000000001</v>
      </c>
      <c r="H142">
        <v>0.66366000000000003</v>
      </c>
      <c r="I142">
        <v>4.9910000000000003E-2</v>
      </c>
      <c r="J142">
        <v>5.8900000000000003E-3</v>
      </c>
      <c r="K142">
        <v>8.4339999999999998E-2</v>
      </c>
      <c r="L142">
        <v>0.12071</v>
      </c>
      <c r="M142">
        <v>2.0945900000000002</v>
      </c>
      <c r="N142">
        <v>2016</v>
      </c>
    </row>
    <row r="143" spans="1:14" x14ac:dyDescent="0.3">
      <c r="A143" s="1" t="s">
        <v>165</v>
      </c>
      <c r="B143" s="1" t="s">
        <v>91</v>
      </c>
      <c r="C143">
        <v>142</v>
      </c>
      <c r="D143">
        <v>3.8559999999999999</v>
      </c>
      <c r="E143">
        <v>3.7810000000000001</v>
      </c>
      <c r="F143">
        <v>3.931</v>
      </c>
      <c r="G143">
        <v>0.13270000000000001</v>
      </c>
      <c r="H143">
        <v>0.60529999999999995</v>
      </c>
      <c r="I143">
        <v>0.26162000000000002</v>
      </c>
      <c r="J143">
        <v>0.38041000000000003</v>
      </c>
      <c r="K143">
        <v>0.17176</v>
      </c>
      <c r="L143">
        <v>0.2097</v>
      </c>
      <c r="M143">
        <v>2.0946899999999999</v>
      </c>
      <c r="N143">
        <v>2016</v>
      </c>
    </row>
    <row r="144" spans="1:14" x14ac:dyDescent="0.3">
      <c r="A144" s="1" t="s">
        <v>187</v>
      </c>
      <c r="B144" s="1" t="s">
        <v>91</v>
      </c>
      <c r="C144">
        <v>143</v>
      </c>
      <c r="D144">
        <v>3.8319999999999999</v>
      </c>
      <c r="E144">
        <v>3.5960000000000001</v>
      </c>
      <c r="F144">
        <v>4.0679999999999996</v>
      </c>
      <c r="G144">
        <v>0.39394000000000001</v>
      </c>
      <c r="H144">
        <v>0.18518999999999999</v>
      </c>
      <c r="I144">
        <v>0.15781000000000001</v>
      </c>
      <c r="J144">
        <v>0.19661999999999999</v>
      </c>
      <c r="K144">
        <v>0.13014999999999999</v>
      </c>
      <c r="L144">
        <v>0.25899</v>
      </c>
      <c r="M144">
        <v>2.50929</v>
      </c>
      <c r="N144">
        <v>2016</v>
      </c>
    </row>
    <row r="145" spans="1:14" x14ac:dyDescent="0.3">
      <c r="A145" s="1" t="s">
        <v>170</v>
      </c>
      <c r="B145" s="1" t="s">
        <v>91</v>
      </c>
      <c r="C145">
        <v>144</v>
      </c>
      <c r="D145">
        <v>3.7629999999999999</v>
      </c>
      <c r="E145">
        <v>3.6720000000000002</v>
      </c>
      <c r="F145">
        <v>3.8540000000000001</v>
      </c>
      <c r="G145">
        <v>0.42214000000000002</v>
      </c>
      <c r="H145">
        <v>0.63178000000000001</v>
      </c>
      <c r="I145">
        <v>3.8240000000000003E-2</v>
      </c>
      <c r="J145">
        <v>0.12806999999999999</v>
      </c>
      <c r="K145">
        <v>4.9520000000000002E-2</v>
      </c>
      <c r="L145">
        <v>0.18667</v>
      </c>
      <c r="M145">
        <v>2.3063699999999998</v>
      </c>
      <c r="N145">
        <v>2016</v>
      </c>
    </row>
    <row r="146" spans="1:14" x14ac:dyDescent="0.3">
      <c r="A146" s="1" t="s">
        <v>173</v>
      </c>
      <c r="B146" s="1" t="s">
        <v>91</v>
      </c>
      <c r="C146">
        <v>145</v>
      </c>
      <c r="D146">
        <v>3.7389999999999999</v>
      </c>
      <c r="E146">
        <v>3.6469999999999998</v>
      </c>
      <c r="F146">
        <v>3.831</v>
      </c>
      <c r="G146">
        <v>0.31995000000000001</v>
      </c>
      <c r="H146">
        <v>0.63053999999999999</v>
      </c>
      <c r="I146">
        <v>0.21296999999999999</v>
      </c>
      <c r="J146">
        <v>0.3337</v>
      </c>
      <c r="K146">
        <v>0.12533</v>
      </c>
      <c r="L146">
        <v>0.24353</v>
      </c>
      <c r="M146">
        <v>1.8731899999999999</v>
      </c>
      <c r="N146">
        <v>2016</v>
      </c>
    </row>
    <row r="147" spans="1:14" x14ac:dyDescent="0.3">
      <c r="A147" s="1" t="s">
        <v>162</v>
      </c>
      <c r="B147" s="1" t="s">
        <v>91</v>
      </c>
      <c r="C147">
        <v>145</v>
      </c>
      <c r="D147">
        <v>3.7389999999999999</v>
      </c>
      <c r="E147">
        <v>3.629</v>
      </c>
      <c r="F147">
        <v>3.8490000000000002</v>
      </c>
      <c r="G147">
        <v>0.34719</v>
      </c>
      <c r="H147">
        <v>0.90981000000000001</v>
      </c>
      <c r="I147">
        <v>0.19625000000000001</v>
      </c>
      <c r="J147">
        <v>0.43652999999999997</v>
      </c>
      <c r="K147">
        <v>6.4420000000000005E-2</v>
      </c>
      <c r="L147">
        <v>0.27101999999999998</v>
      </c>
      <c r="M147">
        <v>1.51416</v>
      </c>
      <c r="N147">
        <v>2016</v>
      </c>
    </row>
    <row r="148" spans="1:14" x14ac:dyDescent="0.3">
      <c r="A148" s="1" t="s">
        <v>157</v>
      </c>
      <c r="B148" s="1" t="s">
        <v>26</v>
      </c>
      <c r="C148">
        <v>147</v>
      </c>
      <c r="D148">
        <v>3.7240000000000002</v>
      </c>
      <c r="E148">
        <v>3.621</v>
      </c>
      <c r="F148">
        <v>3.827</v>
      </c>
      <c r="G148">
        <v>0.57938999999999996</v>
      </c>
      <c r="H148">
        <v>0.47493000000000002</v>
      </c>
      <c r="I148">
        <v>0.31047999999999998</v>
      </c>
      <c r="J148">
        <v>0.22869999999999999</v>
      </c>
      <c r="K148">
        <v>5.892E-2</v>
      </c>
      <c r="L148">
        <v>9.8210000000000006E-2</v>
      </c>
      <c r="M148">
        <v>1.97295</v>
      </c>
      <c r="N148">
        <v>2016</v>
      </c>
    </row>
    <row r="149" spans="1:14" x14ac:dyDescent="0.3">
      <c r="A149" s="1" t="s">
        <v>168</v>
      </c>
      <c r="B149" s="1" t="s">
        <v>91</v>
      </c>
      <c r="C149">
        <v>148</v>
      </c>
      <c r="D149">
        <v>3.6949999999999998</v>
      </c>
      <c r="E149">
        <v>3.621</v>
      </c>
      <c r="F149">
        <v>3.7690000000000001</v>
      </c>
      <c r="G149">
        <v>0.27954000000000001</v>
      </c>
      <c r="H149">
        <v>0.46115</v>
      </c>
      <c r="I149">
        <v>0.37108999999999998</v>
      </c>
      <c r="J149">
        <v>0.13683999999999999</v>
      </c>
      <c r="K149">
        <v>7.5060000000000002E-2</v>
      </c>
      <c r="L149">
        <v>0.22040000000000001</v>
      </c>
      <c r="M149">
        <v>2.1507499999999999</v>
      </c>
      <c r="N149">
        <v>2016</v>
      </c>
    </row>
    <row r="150" spans="1:14" x14ac:dyDescent="0.3">
      <c r="A150" s="1" t="s">
        <v>167</v>
      </c>
      <c r="B150" s="1" t="s">
        <v>91</v>
      </c>
      <c r="C150">
        <v>149</v>
      </c>
      <c r="D150">
        <v>3.6659999999999999</v>
      </c>
      <c r="E150">
        <v>3.5609999999999999</v>
      </c>
      <c r="F150">
        <v>3.7709999999999999</v>
      </c>
      <c r="G150">
        <v>0.47155000000000002</v>
      </c>
      <c r="H150">
        <v>0.77622999999999998</v>
      </c>
      <c r="I150">
        <v>0.35699999999999998</v>
      </c>
      <c r="J150">
        <v>0.31759999999999999</v>
      </c>
      <c r="K150">
        <v>5.0990000000000001E-2</v>
      </c>
      <c r="L150">
        <v>0.31472</v>
      </c>
      <c r="M150">
        <v>1.3776900000000001</v>
      </c>
      <c r="N150">
        <v>2016</v>
      </c>
    </row>
    <row r="151" spans="1:14" x14ac:dyDescent="0.3">
      <c r="A151" s="1" t="s">
        <v>137</v>
      </c>
      <c r="B151" s="1" t="s">
        <v>91</v>
      </c>
      <c r="C151">
        <v>150</v>
      </c>
      <c r="D151">
        <v>3.6219999999999999</v>
      </c>
      <c r="E151">
        <v>3.4630000000000001</v>
      </c>
      <c r="F151">
        <v>3.7810000000000001</v>
      </c>
      <c r="G151">
        <v>0.10706</v>
      </c>
      <c r="H151">
        <v>0.50353000000000003</v>
      </c>
      <c r="I151">
        <v>0.23164999999999999</v>
      </c>
      <c r="J151">
        <v>0.25747999999999999</v>
      </c>
      <c r="K151">
        <v>4.8520000000000001E-2</v>
      </c>
      <c r="L151">
        <v>0.24063000000000001</v>
      </c>
      <c r="M151">
        <v>2.2328399999999999</v>
      </c>
      <c r="N151">
        <v>2016</v>
      </c>
    </row>
    <row r="152" spans="1:14" x14ac:dyDescent="0.3">
      <c r="A152" s="1" t="s">
        <v>171</v>
      </c>
      <c r="B152" s="1" t="s">
        <v>91</v>
      </c>
      <c r="C152">
        <v>151</v>
      </c>
      <c r="D152">
        <v>3.6070000000000002</v>
      </c>
      <c r="E152">
        <v>3.5329999999999999</v>
      </c>
      <c r="F152">
        <v>3.681</v>
      </c>
      <c r="G152">
        <v>0.22414999999999999</v>
      </c>
      <c r="H152">
        <v>0.31090000000000001</v>
      </c>
      <c r="I152">
        <v>0.18829000000000001</v>
      </c>
      <c r="J152">
        <v>0.30953000000000003</v>
      </c>
      <c r="K152">
        <v>0.1192</v>
      </c>
      <c r="L152">
        <v>0.29914000000000002</v>
      </c>
      <c r="M152">
        <v>2.15604</v>
      </c>
      <c r="N152">
        <v>2016</v>
      </c>
    </row>
    <row r="153" spans="1:14" x14ac:dyDescent="0.3">
      <c r="A153" s="1" t="s">
        <v>175</v>
      </c>
      <c r="B153" s="1" t="s">
        <v>91</v>
      </c>
      <c r="C153">
        <v>152</v>
      </c>
      <c r="D153">
        <v>3.5150000000000001</v>
      </c>
      <c r="E153">
        <v>3.444</v>
      </c>
      <c r="F153">
        <v>3.5859999999999999</v>
      </c>
      <c r="G153">
        <v>0.32845999999999997</v>
      </c>
      <c r="H153">
        <v>0.61585999999999996</v>
      </c>
      <c r="I153">
        <v>0.31864999999999999</v>
      </c>
      <c r="J153">
        <v>0.54320000000000002</v>
      </c>
      <c r="K153">
        <v>0.50521000000000005</v>
      </c>
      <c r="L153">
        <v>0.23552000000000001</v>
      </c>
      <c r="M153">
        <v>0.96819</v>
      </c>
      <c r="N153">
        <v>2016</v>
      </c>
    </row>
    <row r="154" spans="1:14" x14ac:dyDescent="0.3">
      <c r="A154" s="1" t="s">
        <v>176</v>
      </c>
      <c r="B154" s="1" t="s">
        <v>91</v>
      </c>
      <c r="C154">
        <v>153</v>
      </c>
      <c r="D154">
        <v>3.484</v>
      </c>
      <c r="E154">
        <v>3.4039999999999999</v>
      </c>
      <c r="F154">
        <v>3.5640000000000001</v>
      </c>
      <c r="G154">
        <v>0.39499000000000001</v>
      </c>
      <c r="H154">
        <v>0.10419</v>
      </c>
      <c r="I154">
        <v>0.21027999999999999</v>
      </c>
      <c r="J154">
        <v>0.39746999999999999</v>
      </c>
      <c r="K154">
        <v>6.6809999999999994E-2</v>
      </c>
      <c r="L154">
        <v>0.20180000000000001</v>
      </c>
      <c r="M154">
        <v>2.10812</v>
      </c>
      <c r="N154">
        <v>2016</v>
      </c>
    </row>
    <row r="155" spans="1:14" x14ac:dyDescent="0.3">
      <c r="A155" s="1" t="s">
        <v>174</v>
      </c>
      <c r="B155" s="1" t="s">
        <v>100</v>
      </c>
      <c r="C155">
        <v>154</v>
      </c>
      <c r="D155">
        <v>3.36</v>
      </c>
      <c r="E155">
        <v>3.2879999999999998</v>
      </c>
      <c r="F155">
        <v>3.4319999999999999</v>
      </c>
      <c r="G155">
        <v>0.38227</v>
      </c>
      <c r="H155">
        <v>0.11037</v>
      </c>
      <c r="I155">
        <v>0.17344000000000001</v>
      </c>
      <c r="J155">
        <v>0.1643</v>
      </c>
      <c r="K155">
        <v>7.1120000000000003E-2</v>
      </c>
      <c r="L155">
        <v>0.31268000000000001</v>
      </c>
      <c r="M155">
        <v>2.1455799999999998</v>
      </c>
      <c r="N155">
        <v>2016</v>
      </c>
    </row>
    <row r="156" spans="1:14" x14ac:dyDescent="0.3">
      <c r="A156" s="1" t="s">
        <v>179</v>
      </c>
      <c r="B156" s="1" t="s">
        <v>91</v>
      </c>
      <c r="C156">
        <v>155</v>
      </c>
      <c r="D156">
        <v>3.3029999999999999</v>
      </c>
      <c r="E156">
        <v>3.1920000000000002</v>
      </c>
      <c r="F156">
        <v>3.4140000000000001</v>
      </c>
      <c r="G156">
        <v>0.28122999999999998</v>
      </c>
      <c r="H156">
        <v>0</v>
      </c>
      <c r="I156">
        <v>0.24811</v>
      </c>
      <c r="J156">
        <v>0.34677999999999998</v>
      </c>
      <c r="K156">
        <v>0.11587</v>
      </c>
      <c r="L156">
        <v>0.17516999999999999</v>
      </c>
      <c r="M156">
        <v>2.1354000000000002</v>
      </c>
      <c r="N156">
        <v>2016</v>
      </c>
    </row>
    <row r="157" spans="1:14" x14ac:dyDescent="0.3">
      <c r="A157" s="1" t="s">
        <v>177</v>
      </c>
      <c r="B157" s="1" t="s">
        <v>26</v>
      </c>
      <c r="C157">
        <v>156</v>
      </c>
      <c r="D157">
        <v>3.069</v>
      </c>
      <c r="E157">
        <v>2.9359999999999999</v>
      </c>
      <c r="F157">
        <v>3.202</v>
      </c>
      <c r="G157">
        <v>0.74719000000000002</v>
      </c>
      <c r="H157">
        <v>0.14865999999999999</v>
      </c>
      <c r="I157">
        <v>0.62994000000000006</v>
      </c>
      <c r="J157">
        <v>6.9120000000000001E-2</v>
      </c>
      <c r="K157">
        <v>0.17233000000000001</v>
      </c>
      <c r="L157">
        <v>0.48397000000000001</v>
      </c>
      <c r="M157">
        <v>0.81789000000000001</v>
      </c>
      <c r="N157">
        <v>2016</v>
      </c>
    </row>
    <row r="158" spans="1:14" x14ac:dyDescent="0.3">
      <c r="A158" s="1" t="s">
        <v>178</v>
      </c>
      <c r="B158" s="1" t="s">
        <v>91</v>
      </c>
      <c r="C158">
        <v>157</v>
      </c>
      <c r="D158">
        <v>2.9049999999999998</v>
      </c>
      <c r="E158">
        <v>2.7320000000000002</v>
      </c>
      <c r="F158">
        <v>3.0779999999999998</v>
      </c>
      <c r="G158">
        <v>6.8309999999999996E-2</v>
      </c>
      <c r="H158">
        <v>0.23441999999999999</v>
      </c>
      <c r="I158">
        <v>0.15747</v>
      </c>
      <c r="J158">
        <v>4.3200000000000002E-2</v>
      </c>
      <c r="K158">
        <v>9.4189999999999996E-2</v>
      </c>
      <c r="L158">
        <v>0.2029</v>
      </c>
      <c r="M158">
        <v>2.1040399999999999</v>
      </c>
      <c r="N158">
        <v>2016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D294-B704-468A-8CA8-B33C94829388}">
  <dimension ref="A1:N156"/>
  <sheetViews>
    <sheetView workbookViewId="0">
      <selection activeCell="C3" sqref="C3"/>
    </sheetView>
  </sheetViews>
  <sheetFormatPr defaultRowHeight="14.4" x14ac:dyDescent="0.3"/>
  <cols>
    <col min="1" max="1" width="21.109375" bestFit="1" customWidth="1"/>
    <col min="2" max="2" width="16.88671875" bestFit="1" customWidth="1"/>
    <col min="3" max="3" width="26.5546875" bestFit="1" customWidth="1"/>
    <col min="4" max="4" width="17.5546875" bestFit="1" customWidth="1"/>
    <col min="5" max="5" width="14" bestFit="1" customWidth="1"/>
    <col min="6" max="6" width="13.44140625" bestFit="1" customWidth="1"/>
    <col min="7" max="7" width="25.88671875" bestFit="1" customWidth="1"/>
    <col min="8" max="8" width="12" bestFit="1" customWidth="1"/>
    <col min="9" max="9" width="23.88671875" bestFit="1" customWidth="1"/>
    <col min="10" max="10" width="12" bestFit="1" customWidth="1"/>
    <col min="11" max="11" width="12.21875" bestFit="1" customWidth="1"/>
    <col min="12" max="12" width="29.109375" bestFit="1" customWidth="1"/>
    <col min="13" max="13" width="18.44140625" bestFit="1" customWidth="1"/>
  </cols>
  <sheetData>
    <row r="1" spans="1:14" x14ac:dyDescent="0.3">
      <c r="A1" t="s">
        <v>0</v>
      </c>
      <c r="B1" t="s">
        <v>188</v>
      </c>
      <c r="C1" t="s">
        <v>1</v>
      </c>
      <c r="D1" t="s">
        <v>189</v>
      </c>
      <c r="E1" t="s">
        <v>190</v>
      </c>
      <c r="F1" t="s">
        <v>191</v>
      </c>
      <c r="G1" t="s">
        <v>192</v>
      </c>
      <c r="H1" t="s">
        <v>6</v>
      </c>
      <c r="I1" t="s">
        <v>193</v>
      </c>
      <c r="J1" t="s">
        <v>8</v>
      </c>
      <c r="K1" t="s">
        <v>10</v>
      </c>
      <c r="L1" t="s">
        <v>194</v>
      </c>
      <c r="M1" t="s">
        <v>195</v>
      </c>
      <c r="N1" t="s">
        <v>321</v>
      </c>
    </row>
    <row r="2" spans="1:14" x14ac:dyDescent="0.3">
      <c r="A2" s="1" t="s">
        <v>16</v>
      </c>
      <c r="B2">
        <v>1</v>
      </c>
      <c r="C2" t="str">
        <f>VLOOKUP(_2017[[#This Row],[Country]],'2016'!$1:$1048576,2,FALSE)</f>
        <v>Western Europe</v>
      </c>
      <c r="D2">
        <v>7.5370001792907697</v>
      </c>
      <c r="E2">
        <v>7.5944448205828703</v>
      </c>
      <c r="F2">
        <v>7.4795555379986798</v>
      </c>
      <c r="G2">
        <v>1.6164631843566899</v>
      </c>
      <c r="H2">
        <v>1.5335235595703101</v>
      </c>
      <c r="I2">
        <v>0.79666650295257602</v>
      </c>
      <c r="J2">
        <v>0.63542258739471402</v>
      </c>
      <c r="K2">
        <v>0.36201223731040999</v>
      </c>
      <c r="L2">
        <v>0.315963834524155</v>
      </c>
      <c r="M2">
        <v>2.27702665328979</v>
      </c>
      <c r="N2">
        <v>2017</v>
      </c>
    </row>
    <row r="3" spans="1:14" x14ac:dyDescent="0.3">
      <c r="A3" s="1" t="s">
        <v>15</v>
      </c>
      <c r="B3">
        <v>2</v>
      </c>
      <c r="C3" t="str">
        <f>VLOOKUP(_2017[[#This Row],[Country]],'2016'!$1:$1048576,2,FALSE)</f>
        <v>Western Europe</v>
      </c>
      <c r="D3">
        <v>7.5219998359680202</v>
      </c>
      <c r="E3">
        <v>7.5817280648648699</v>
      </c>
      <c r="F3">
        <v>7.4622716070711599</v>
      </c>
      <c r="G3">
        <v>1.48238301277161</v>
      </c>
      <c r="H3">
        <v>1.5511215925216699</v>
      </c>
      <c r="I3">
        <v>0.79256552457809404</v>
      </c>
      <c r="J3">
        <v>0.62600672245025601</v>
      </c>
      <c r="K3">
        <v>0.35528048872947698</v>
      </c>
      <c r="L3">
        <v>0.40077006816864003</v>
      </c>
      <c r="M3">
        <v>2.3137073516845699</v>
      </c>
      <c r="N3">
        <v>2017</v>
      </c>
    </row>
    <row r="4" spans="1:14" x14ac:dyDescent="0.3">
      <c r="A4" s="1" t="s">
        <v>14</v>
      </c>
      <c r="B4">
        <v>3</v>
      </c>
      <c r="C4" t="str">
        <f>VLOOKUP(_2017[[#This Row],[Country]],'2016'!$1:$1048576,2,FALSE)</f>
        <v>Western Europe</v>
      </c>
      <c r="D4">
        <v>7.5040001869201696</v>
      </c>
      <c r="E4">
        <v>7.62203047305346</v>
      </c>
      <c r="F4">
        <v>7.38596990078688</v>
      </c>
      <c r="G4">
        <v>1.4806330204010001</v>
      </c>
      <c r="H4">
        <v>1.6105740070343</v>
      </c>
      <c r="I4">
        <v>0.83355212211608898</v>
      </c>
      <c r="J4">
        <v>0.62716263532638505</v>
      </c>
      <c r="K4">
        <v>0.475540220737457</v>
      </c>
      <c r="L4">
        <v>0.15352655947208399</v>
      </c>
      <c r="M4">
        <v>2.32271528244019</v>
      </c>
      <c r="N4">
        <v>2017</v>
      </c>
    </row>
    <row r="5" spans="1:14" x14ac:dyDescent="0.3">
      <c r="A5" s="1" t="s">
        <v>12</v>
      </c>
      <c r="B5">
        <v>4</v>
      </c>
      <c r="C5" t="str">
        <f>VLOOKUP(_2017[[#This Row],[Country]],'2016'!$1:$1048576,2,FALSE)</f>
        <v>Western Europe</v>
      </c>
      <c r="D5">
        <v>7.4939999580383301</v>
      </c>
      <c r="E5">
        <v>7.5617724204063403</v>
      </c>
      <c r="F5">
        <v>7.4262274956703198</v>
      </c>
      <c r="G5">
        <v>1.56497955322266</v>
      </c>
      <c r="H5">
        <v>1.51691174507141</v>
      </c>
      <c r="I5">
        <v>0.85813128948211703</v>
      </c>
      <c r="J5">
        <v>0.62007057666778598</v>
      </c>
      <c r="K5">
        <v>0.29054927825927701</v>
      </c>
      <c r="L5">
        <v>0.367007285356522</v>
      </c>
      <c r="M5">
        <v>2.2767162322997998</v>
      </c>
      <c r="N5">
        <v>2017</v>
      </c>
    </row>
    <row r="6" spans="1:14" x14ac:dyDescent="0.3">
      <c r="A6" s="1" t="s">
        <v>19</v>
      </c>
      <c r="B6">
        <v>5</v>
      </c>
      <c r="C6" t="str">
        <f>VLOOKUP(_2017[[#This Row],[Country]],'2016'!$1:$1048576,2,FALSE)</f>
        <v>Western Europe</v>
      </c>
      <c r="D6">
        <v>7.4689998626709002</v>
      </c>
      <c r="E6">
        <v>7.5275420758128204</v>
      </c>
      <c r="F6">
        <v>7.41045764952898</v>
      </c>
      <c r="G6">
        <v>1.4435719251632699</v>
      </c>
      <c r="H6">
        <v>1.5402467250823999</v>
      </c>
      <c r="I6">
        <v>0.80915766954421997</v>
      </c>
      <c r="J6">
        <v>0.61795085668563798</v>
      </c>
      <c r="K6">
        <v>0.24548277258873</v>
      </c>
      <c r="L6">
        <v>0.38261154294013999</v>
      </c>
      <c r="M6">
        <v>2.4301815032959002</v>
      </c>
      <c r="N6">
        <v>2017</v>
      </c>
    </row>
    <row r="7" spans="1:14" x14ac:dyDescent="0.3">
      <c r="A7" s="1" t="s">
        <v>20</v>
      </c>
      <c r="B7">
        <v>6</v>
      </c>
      <c r="C7" t="str">
        <f>VLOOKUP(_2017[[#This Row],[Country]],'2016'!$1:$1048576,2,FALSE)</f>
        <v>Western Europe</v>
      </c>
      <c r="D7">
        <v>7.3769998550415004</v>
      </c>
      <c r="E7">
        <v>7.4274258412420702</v>
      </c>
      <c r="F7">
        <v>7.3265738688409296</v>
      </c>
      <c r="G7">
        <v>1.50394463539124</v>
      </c>
      <c r="H7">
        <v>1.42893922328949</v>
      </c>
      <c r="I7">
        <v>0.81069612503051802</v>
      </c>
      <c r="J7">
        <v>0.58538448810577404</v>
      </c>
      <c r="K7">
        <v>0.47048982977867099</v>
      </c>
      <c r="L7">
        <v>0.28266182541847201</v>
      </c>
      <c r="M7">
        <v>2.2948040962219198</v>
      </c>
      <c r="N7">
        <v>2017</v>
      </c>
    </row>
    <row r="8" spans="1:14" x14ac:dyDescent="0.3">
      <c r="A8" s="1" t="s">
        <v>17</v>
      </c>
      <c r="B8">
        <v>7</v>
      </c>
      <c r="C8" t="str">
        <f>VLOOKUP(_2017[[#This Row],[Country]],'2016'!$1:$1048576,2,FALSE)</f>
        <v>North America</v>
      </c>
      <c r="D8">
        <v>7.31599998474121</v>
      </c>
      <c r="E8">
        <v>7.3844028353691096</v>
      </c>
      <c r="F8">
        <v>7.2475971341133096</v>
      </c>
      <c r="G8">
        <v>1.47920441627502</v>
      </c>
      <c r="H8">
        <v>1.4813489913940401</v>
      </c>
      <c r="I8">
        <v>0.83455765247345004</v>
      </c>
      <c r="J8">
        <v>0.61110091209411599</v>
      </c>
      <c r="K8">
        <v>0.43553972244262701</v>
      </c>
      <c r="L8">
        <v>0.287371516227722</v>
      </c>
      <c r="M8">
        <v>2.1872644424438499</v>
      </c>
      <c r="N8">
        <v>2017</v>
      </c>
    </row>
    <row r="9" spans="1:14" x14ac:dyDescent="0.3">
      <c r="A9" s="1" t="s">
        <v>22</v>
      </c>
      <c r="B9">
        <v>8</v>
      </c>
      <c r="C9" t="str">
        <f>VLOOKUP(_2017[[#This Row],[Country]],'2016'!$1:$1048576,2,FALSE)</f>
        <v>Australia and New Zealand</v>
      </c>
      <c r="D9">
        <v>7.3140001296997097</v>
      </c>
      <c r="E9">
        <v>7.3795104418694999</v>
      </c>
      <c r="F9">
        <v>7.2484898175299204</v>
      </c>
      <c r="G9">
        <v>1.40570604801178</v>
      </c>
      <c r="H9">
        <v>1.54819512367249</v>
      </c>
      <c r="I9">
        <v>0.81675970554351796</v>
      </c>
      <c r="J9">
        <v>0.61406213045120195</v>
      </c>
      <c r="K9">
        <v>0.50000512599945102</v>
      </c>
      <c r="L9">
        <v>0.382816702127457</v>
      </c>
      <c r="M9">
        <v>2.0464563369750999</v>
      </c>
      <c r="N9">
        <v>2017</v>
      </c>
    </row>
    <row r="10" spans="1:14" x14ac:dyDescent="0.3">
      <c r="A10" s="1" t="s">
        <v>21</v>
      </c>
      <c r="B10">
        <v>9</v>
      </c>
      <c r="C10" t="str">
        <f>VLOOKUP(_2017[[#This Row],[Country]],'2016'!$1:$1048576,2,FALSE)</f>
        <v>Western Europe</v>
      </c>
      <c r="D10">
        <v>7.2839999198913601</v>
      </c>
      <c r="E10">
        <v>7.3440948773920498</v>
      </c>
      <c r="F10">
        <v>7.2239049623906597</v>
      </c>
      <c r="G10">
        <v>1.4943872690200799</v>
      </c>
      <c r="H10">
        <v>1.4781621694564799</v>
      </c>
      <c r="I10">
        <v>0.83087515830993697</v>
      </c>
      <c r="J10">
        <v>0.61292409896850597</v>
      </c>
      <c r="K10">
        <v>0.38539925217628501</v>
      </c>
      <c r="L10">
        <v>0.38439872860908503</v>
      </c>
      <c r="M10">
        <v>2.0975379943847701</v>
      </c>
      <c r="N10">
        <v>2017</v>
      </c>
    </row>
    <row r="11" spans="1:14" x14ac:dyDescent="0.3">
      <c r="A11" s="1" t="s">
        <v>24</v>
      </c>
      <c r="B11">
        <v>10</v>
      </c>
      <c r="C11" t="str">
        <f>VLOOKUP(_2017[[#This Row],[Country]],'2016'!$1:$1048576,2,FALSE)</f>
        <v>Australia and New Zealand</v>
      </c>
      <c r="D11">
        <v>7.2839999198913601</v>
      </c>
      <c r="E11">
        <v>7.3566512249410199</v>
      </c>
      <c r="F11">
        <v>7.2113486148417003</v>
      </c>
      <c r="G11">
        <v>1.484414935112</v>
      </c>
      <c r="H11">
        <v>1.51004195213318</v>
      </c>
      <c r="I11">
        <v>0.84388679265975997</v>
      </c>
      <c r="J11">
        <v>0.60160738229751598</v>
      </c>
      <c r="K11">
        <v>0.47769924998283397</v>
      </c>
      <c r="L11">
        <v>0.30118373036384599</v>
      </c>
      <c r="M11">
        <v>2.0652108192443799</v>
      </c>
      <c r="N11">
        <v>2017</v>
      </c>
    </row>
    <row r="12" spans="1:14" x14ac:dyDescent="0.3">
      <c r="A12" s="1" t="s">
        <v>25</v>
      </c>
      <c r="B12">
        <v>11</v>
      </c>
      <c r="C12" t="str">
        <f>VLOOKUP(_2017[[#This Row],[Country]],'2016'!$1:$1048576,2,FALSE)</f>
        <v>Middle East and Northern Africa</v>
      </c>
      <c r="D12">
        <v>7.2129998207092303</v>
      </c>
      <c r="E12">
        <v>7.2798532564938103</v>
      </c>
      <c r="F12">
        <v>7.1461463849246503</v>
      </c>
      <c r="G12">
        <v>1.37538242340088</v>
      </c>
      <c r="H12">
        <v>1.3762899637222299</v>
      </c>
      <c r="I12">
        <v>0.83840399980545</v>
      </c>
      <c r="J12">
        <v>0.40598860383033802</v>
      </c>
      <c r="K12">
        <v>0.33008265495300299</v>
      </c>
      <c r="L12">
        <v>8.5242100059986101E-2</v>
      </c>
      <c r="M12">
        <v>2.80175733566284</v>
      </c>
      <c r="N12">
        <v>2017</v>
      </c>
    </row>
    <row r="13" spans="1:14" x14ac:dyDescent="0.3">
      <c r="A13" s="1" t="s">
        <v>27</v>
      </c>
      <c r="B13">
        <v>12</v>
      </c>
      <c r="C13" t="str">
        <f>VLOOKUP(_2017[[#This Row],[Country]],'2016'!$1:$1048576,2,FALSE)</f>
        <v>Latin America and Caribbean</v>
      </c>
      <c r="D13">
        <v>7.0789999961853001</v>
      </c>
      <c r="E13">
        <v>7.1681116662919502</v>
      </c>
      <c r="F13">
        <v>6.98988832607865</v>
      </c>
      <c r="G13">
        <v>1.1097062826156601</v>
      </c>
      <c r="H13">
        <v>1.41640365123749</v>
      </c>
      <c r="I13">
        <v>0.75950926542282104</v>
      </c>
      <c r="J13">
        <v>0.58013164997100797</v>
      </c>
      <c r="K13">
        <v>0.21461322903633101</v>
      </c>
      <c r="L13">
        <v>0.100106589496136</v>
      </c>
      <c r="M13">
        <v>2.8986392021179199</v>
      </c>
      <c r="N13">
        <v>2017</v>
      </c>
    </row>
    <row r="14" spans="1:14" x14ac:dyDescent="0.3">
      <c r="A14" s="1" t="s">
        <v>29</v>
      </c>
      <c r="B14">
        <v>13</v>
      </c>
      <c r="C14" t="str">
        <f>VLOOKUP(_2017[[#This Row],[Country]],'2016'!$1:$1048576,2,FALSE)</f>
        <v>Western Europe</v>
      </c>
      <c r="D14">
        <v>7.0060000419616699</v>
      </c>
      <c r="E14">
        <v>7.0706698121130502</v>
      </c>
      <c r="F14">
        <v>6.9413302718102896</v>
      </c>
      <c r="G14">
        <v>1.4870972633361801</v>
      </c>
      <c r="H14">
        <v>1.4599449634552</v>
      </c>
      <c r="I14">
        <v>0.81532841920852706</v>
      </c>
      <c r="J14">
        <v>0.56776618957519498</v>
      </c>
      <c r="K14">
        <v>0.31647232174873402</v>
      </c>
      <c r="L14">
        <v>0.221060365438461</v>
      </c>
      <c r="M14">
        <v>2.1385064125061</v>
      </c>
      <c r="N14">
        <v>2017</v>
      </c>
    </row>
    <row r="15" spans="1:14" x14ac:dyDescent="0.3">
      <c r="A15" s="1" t="s">
        <v>31</v>
      </c>
      <c r="B15">
        <v>14</v>
      </c>
      <c r="C15" t="str">
        <f>VLOOKUP(_2017[[#This Row],[Country]],'2016'!$1:$1048576,2,FALSE)</f>
        <v>North America</v>
      </c>
      <c r="D15">
        <v>6.9930000305175799</v>
      </c>
      <c r="E15">
        <v>7.0746567475795699</v>
      </c>
      <c r="F15">
        <v>6.9113433134555802</v>
      </c>
      <c r="G15">
        <v>1.54625928401947</v>
      </c>
      <c r="H15">
        <v>1.4199205636978101</v>
      </c>
      <c r="I15">
        <v>0.77428662776946999</v>
      </c>
      <c r="J15">
        <v>0.50574052333831798</v>
      </c>
      <c r="K15">
        <v>0.39257878065109297</v>
      </c>
      <c r="L15">
        <v>0.135638788342476</v>
      </c>
      <c r="M15">
        <v>2.2181134223938002</v>
      </c>
      <c r="N15">
        <v>2017</v>
      </c>
    </row>
    <row r="16" spans="1:14" x14ac:dyDescent="0.3">
      <c r="A16" s="1" t="s">
        <v>34</v>
      </c>
      <c r="B16">
        <v>15</v>
      </c>
      <c r="C16" t="str">
        <f>VLOOKUP(_2017[[#This Row],[Country]],'2016'!$1:$1048576,2,FALSE)</f>
        <v>Western Europe</v>
      </c>
      <c r="D16">
        <v>6.9770002365112296</v>
      </c>
      <c r="E16">
        <v>7.04335166752338</v>
      </c>
      <c r="F16">
        <v>6.91064880549908</v>
      </c>
      <c r="G16">
        <v>1.53570663928986</v>
      </c>
      <c r="H16">
        <v>1.5582311153411901</v>
      </c>
      <c r="I16">
        <v>0.80978262424469005</v>
      </c>
      <c r="J16">
        <v>0.57311034202575695</v>
      </c>
      <c r="K16">
        <v>0.42785832285880998</v>
      </c>
      <c r="L16">
        <v>0.29838815331459001</v>
      </c>
      <c r="M16">
        <v>1.7738690376281701</v>
      </c>
      <c r="N16">
        <v>2017</v>
      </c>
    </row>
    <row r="17" spans="1:14" x14ac:dyDescent="0.3">
      <c r="A17" s="1" t="s">
        <v>43</v>
      </c>
      <c r="B17">
        <v>16</v>
      </c>
      <c r="C17" t="str">
        <f>VLOOKUP(_2017[[#This Row],[Country]],'2016'!$1:$1048576,2,FALSE)</f>
        <v>Western Europe</v>
      </c>
      <c r="D17">
        <v>6.9510002136230504</v>
      </c>
      <c r="E17">
        <v>7.0053815692663202</v>
      </c>
      <c r="F17">
        <v>6.89661885797977</v>
      </c>
      <c r="G17">
        <v>1.4879233837127701</v>
      </c>
      <c r="H17">
        <v>1.4725203514099101</v>
      </c>
      <c r="I17">
        <v>0.79895073175430298</v>
      </c>
      <c r="J17">
        <v>0.56251138448715199</v>
      </c>
      <c r="K17">
        <v>0.33626917004585299</v>
      </c>
      <c r="L17">
        <v>0.276731938123703</v>
      </c>
      <c r="M17">
        <v>2.0157699584960902</v>
      </c>
      <c r="N17">
        <v>2017</v>
      </c>
    </row>
    <row r="18" spans="1:14" x14ac:dyDescent="0.3">
      <c r="A18" s="1" t="s">
        <v>35</v>
      </c>
      <c r="B18">
        <v>17</v>
      </c>
      <c r="C18" t="str">
        <f>VLOOKUP(_2017[[#This Row],[Country]],'2016'!$1:$1048576,2,FALSE)</f>
        <v>Western Europe</v>
      </c>
      <c r="D18">
        <v>6.8909997940063503</v>
      </c>
      <c r="E18">
        <v>6.9558207504451302</v>
      </c>
      <c r="F18">
        <v>6.8261788375675696</v>
      </c>
      <c r="G18">
        <v>1.4637807607650799</v>
      </c>
      <c r="H18">
        <v>1.46231269836426</v>
      </c>
      <c r="I18">
        <v>0.81809186935424805</v>
      </c>
      <c r="J18">
        <v>0.53977072238922097</v>
      </c>
      <c r="K18">
        <v>0.23150333762168901</v>
      </c>
      <c r="L18">
        <v>0.25134313106536899</v>
      </c>
      <c r="M18">
        <v>2.1242103576660201</v>
      </c>
      <c r="N18">
        <v>2017</v>
      </c>
    </row>
    <row r="19" spans="1:14" x14ac:dyDescent="0.3">
      <c r="A19" s="1" t="s">
        <v>33</v>
      </c>
      <c r="B19">
        <v>18</v>
      </c>
      <c r="C19" t="str">
        <f>VLOOKUP(_2017[[#This Row],[Country]],'2016'!$1:$1048576,2,FALSE)</f>
        <v>Western Europe</v>
      </c>
      <c r="D19">
        <v>6.8629999160766602</v>
      </c>
      <c r="E19">
        <v>6.9236860998719898</v>
      </c>
      <c r="F19">
        <v>6.8023137322813296</v>
      </c>
      <c r="G19">
        <v>1.74194359779358</v>
      </c>
      <c r="H19">
        <v>1.4575836658477801</v>
      </c>
      <c r="I19">
        <v>0.84508949518203702</v>
      </c>
      <c r="J19">
        <v>0.59662789106368996</v>
      </c>
      <c r="K19">
        <v>0.283180981874466</v>
      </c>
      <c r="L19">
        <v>0.31883442401885997</v>
      </c>
      <c r="M19">
        <v>1.61951208114624</v>
      </c>
      <c r="N19">
        <v>2017</v>
      </c>
    </row>
    <row r="20" spans="1:14" x14ac:dyDescent="0.3">
      <c r="A20" s="1" t="s">
        <v>37</v>
      </c>
      <c r="B20">
        <v>19</v>
      </c>
      <c r="C20" t="str">
        <f>VLOOKUP(_2017[[#This Row],[Country]],'2016'!$1:$1048576,2,FALSE)</f>
        <v>Western Europe</v>
      </c>
      <c r="D20">
        <v>6.7140002250671396</v>
      </c>
      <c r="E20">
        <v>6.7837917611002903</v>
      </c>
      <c r="F20">
        <v>6.6442086890339898</v>
      </c>
      <c r="G20">
        <v>1.44163393974304</v>
      </c>
      <c r="H20">
        <v>1.49646008014679</v>
      </c>
      <c r="I20">
        <v>0.80533593893051103</v>
      </c>
      <c r="J20">
        <v>0.50819003582000699</v>
      </c>
      <c r="K20">
        <v>0.492774158716202</v>
      </c>
      <c r="L20">
        <v>0.265428066253662</v>
      </c>
      <c r="M20">
        <v>1.7041435241699201</v>
      </c>
      <c r="N20">
        <v>2017</v>
      </c>
    </row>
    <row r="21" spans="1:14" x14ac:dyDescent="0.3">
      <c r="A21" s="1" t="s">
        <v>44</v>
      </c>
      <c r="B21">
        <v>20</v>
      </c>
      <c r="C21" t="str">
        <f>VLOOKUP(_2017[[#This Row],[Country]],'2016'!$1:$1048576,2,FALSE)</f>
        <v>Latin America and Caribbean</v>
      </c>
      <c r="D21">
        <v>6.65199995040894</v>
      </c>
      <c r="E21">
        <v>6.7392505601048498</v>
      </c>
      <c r="F21">
        <v>6.5647493407130204</v>
      </c>
      <c r="G21">
        <v>1.25278460979462</v>
      </c>
      <c r="H21">
        <v>1.28402495384216</v>
      </c>
      <c r="I21">
        <v>0.81947970390319802</v>
      </c>
      <c r="J21">
        <v>0.37689527869224498</v>
      </c>
      <c r="K21">
        <v>0.32666242122650102</v>
      </c>
      <c r="L21">
        <v>8.2287982106208801E-2</v>
      </c>
      <c r="M21">
        <v>2.5095858573913601</v>
      </c>
      <c r="N21">
        <v>2017</v>
      </c>
    </row>
    <row r="22" spans="1:14" x14ac:dyDescent="0.3">
      <c r="A22" s="1" t="s">
        <v>36</v>
      </c>
      <c r="B22">
        <v>21</v>
      </c>
      <c r="C22" t="str">
        <f>VLOOKUP(_2017[[#This Row],[Country]],'2016'!$1:$1048576,2,FALSE)</f>
        <v>Middle East and Northern Africa</v>
      </c>
      <c r="D22">
        <v>6.6479997634887704</v>
      </c>
      <c r="E22">
        <v>6.7220473037660096</v>
      </c>
      <c r="F22">
        <v>6.5739522232115304</v>
      </c>
      <c r="G22">
        <v>1.62634336948395</v>
      </c>
      <c r="H22">
        <v>1.2664102315902701</v>
      </c>
      <c r="I22">
        <v>0.726798236370087</v>
      </c>
      <c r="J22">
        <v>0.60834527015686002</v>
      </c>
      <c r="K22">
        <v>0.36094194650650002</v>
      </c>
      <c r="L22">
        <v>0.32448956370353699</v>
      </c>
      <c r="M22">
        <v>1.734703540802</v>
      </c>
      <c r="N22">
        <v>2017</v>
      </c>
    </row>
    <row r="23" spans="1:14" x14ac:dyDescent="0.3">
      <c r="A23" s="1" t="s">
        <v>32</v>
      </c>
      <c r="B23">
        <v>22</v>
      </c>
      <c r="C23" t="str">
        <f>VLOOKUP(_2017[[#This Row],[Country]],'2016'!$1:$1048576,2,FALSE)</f>
        <v>Latin America and Caribbean</v>
      </c>
      <c r="D23">
        <v>6.6350002288818404</v>
      </c>
      <c r="E23">
        <v>6.7254695016145698</v>
      </c>
      <c r="F23">
        <v>6.5445309561491003</v>
      </c>
      <c r="G23">
        <v>1.1073532104492201</v>
      </c>
      <c r="H23">
        <v>1.4313060045242301</v>
      </c>
      <c r="I23">
        <v>0.61655235290527299</v>
      </c>
      <c r="J23">
        <v>0.43745374679565402</v>
      </c>
      <c r="K23">
        <v>0.16234989464283001</v>
      </c>
      <c r="L23">
        <v>0.111092761158943</v>
      </c>
      <c r="M23">
        <v>2.7692670822143599</v>
      </c>
      <c r="N23">
        <v>2017</v>
      </c>
    </row>
    <row r="24" spans="1:14" x14ac:dyDescent="0.3">
      <c r="A24" s="1" t="s">
        <v>48</v>
      </c>
      <c r="B24">
        <v>23</v>
      </c>
      <c r="C24" t="str">
        <f>VLOOKUP(_2017[[#This Row],[Country]],'2016'!$1:$1048576,2,FALSE)</f>
        <v>Central and Eastern Europe</v>
      </c>
      <c r="D24">
        <v>6.6090002059936497</v>
      </c>
      <c r="E24">
        <v>6.6838624626398104</v>
      </c>
      <c r="F24">
        <v>6.5341379493474996</v>
      </c>
      <c r="G24">
        <v>1.35268235206604</v>
      </c>
      <c r="H24">
        <v>1.4338852167129501</v>
      </c>
      <c r="I24">
        <v>0.75444400310516402</v>
      </c>
      <c r="J24">
        <v>0.49094617366790799</v>
      </c>
      <c r="K24">
        <v>8.8106758892536205E-2</v>
      </c>
      <c r="L24">
        <v>3.6872927099466303E-2</v>
      </c>
      <c r="M24">
        <v>2.4518618583679199</v>
      </c>
      <c r="N24">
        <v>2017</v>
      </c>
    </row>
    <row r="25" spans="1:14" x14ac:dyDescent="0.3">
      <c r="A25" s="1" t="s">
        <v>47</v>
      </c>
      <c r="B25">
        <v>24</v>
      </c>
      <c r="C25" t="str">
        <f>VLOOKUP(_2017[[#This Row],[Country]],'2016'!$1:$1048576,2,FALSE)</f>
        <v>Latin America and Caribbean</v>
      </c>
      <c r="D25">
        <v>6.59899997711182</v>
      </c>
      <c r="E25">
        <v>6.6900850860774499</v>
      </c>
      <c r="F25">
        <v>6.5079148681461803</v>
      </c>
      <c r="G25">
        <v>1.1852954626083401</v>
      </c>
      <c r="H25">
        <v>1.44045114517212</v>
      </c>
      <c r="I25">
        <v>0.69513708353042603</v>
      </c>
      <c r="J25">
        <v>0.494519203901291</v>
      </c>
      <c r="K25">
        <v>0.109457060694695</v>
      </c>
      <c r="L25">
        <v>5.9739887714386E-2</v>
      </c>
      <c r="M25">
        <v>2.6140053272247301</v>
      </c>
      <c r="N25">
        <v>2017</v>
      </c>
    </row>
    <row r="26" spans="1:14" x14ac:dyDescent="0.3">
      <c r="A26" s="1" t="s">
        <v>30</v>
      </c>
      <c r="B26">
        <v>25</v>
      </c>
      <c r="C26" t="str">
        <f>VLOOKUP(_2017[[#This Row],[Country]],'2016'!$1:$1048576,2,FALSE)</f>
        <v>Latin America and Caribbean</v>
      </c>
      <c r="D26">
        <v>6.5780000686645499</v>
      </c>
      <c r="E26">
        <v>6.67114890769124</v>
      </c>
      <c r="F26">
        <v>6.4848512296378598</v>
      </c>
      <c r="G26">
        <v>1.1531838178634599</v>
      </c>
      <c r="H26">
        <v>1.2108621597289999</v>
      </c>
      <c r="I26">
        <v>0.70997899770736705</v>
      </c>
      <c r="J26">
        <v>0.41273000836372398</v>
      </c>
      <c r="K26">
        <v>0.120990432798862</v>
      </c>
      <c r="L26">
        <v>0.13277411460876501</v>
      </c>
      <c r="M26">
        <v>2.8371548652648899</v>
      </c>
      <c r="N26">
        <v>2017</v>
      </c>
    </row>
    <row r="27" spans="1:14" x14ac:dyDescent="0.3">
      <c r="A27" s="1" t="s">
        <v>40</v>
      </c>
      <c r="B27">
        <v>26</v>
      </c>
      <c r="C27" t="str">
        <f>VLOOKUP(_2017[[#This Row],[Country]],'2016'!$1:$1048576,2,FALSE)</f>
        <v>Southeastern Asia</v>
      </c>
      <c r="D27">
        <v>6.57200002670288</v>
      </c>
      <c r="E27">
        <v>6.6367230691015697</v>
      </c>
      <c r="F27">
        <v>6.5072769843041902</v>
      </c>
      <c r="G27">
        <v>1.69227766990662</v>
      </c>
      <c r="H27">
        <v>1.35381436347961</v>
      </c>
      <c r="I27">
        <v>0.94949239492416404</v>
      </c>
      <c r="J27">
        <v>0.54984056949615501</v>
      </c>
      <c r="K27">
        <v>0.34596598148345897</v>
      </c>
      <c r="L27">
        <v>0.46430778503418002</v>
      </c>
      <c r="M27">
        <v>1.2163619995117201</v>
      </c>
      <c r="N27">
        <v>2017</v>
      </c>
    </row>
    <row r="28" spans="1:14" x14ac:dyDescent="0.3">
      <c r="A28" s="1" t="s">
        <v>55</v>
      </c>
      <c r="B28">
        <v>27</v>
      </c>
      <c r="C28" t="str">
        <f>VLOOKUP(_2017[[#This Row],[Country]],'2016'!$1:$1048576,2,FALSE)</f>
        <v>Western Europe</v>
      </c>
      <c r="D28">
        <v>6.52699995040894</v>
      </c>
      <c r="E28">
        <v>6.59839677289128</v>
      </c>
      <c r="F28">
        <v>6.4556031279265902</v>
      </c>
      <c r="G28">
        <v>1.3432798385620099</v>
      </c>
      <c r="H28">
        <v>1.4884116649627701</v>
      </c>
      <c r="I28">
        <v>0.82194423675537098</v>
      </c>
      <c r="J28">
        <v>0.58876705169677701</v>
      </c>
      <c r="K28">
        <v>0.57473057508468595</v>
      </c>
      <c r="L28">
        <v>0.15306606888771099</v>
      </c>
      <c r="M28">
        <v>1.55686283111572</v>
      </c>
      <c r="N28">
        <v>2017</v>
      </c>
    </row>
    <row r="29" spans="1:14" x14ac:dyDescent="0.3">
      <c r="A29" s="1" t="s">
        <v>50</v>
      </c>
      <c r="B29">
        <v>28</v>
      </c>
      <c r="C29" t="str">
        <f>VLOOKUP(_2017[[#This Row],[Country]],'2016'!$1:$1048576,2,FALSE)</f>
        <v>Latin America and Caribbean</v>
      </c>
      <c r="D29">
        <v>6.4539999961853001</v>
      </c>
      <c r="E29">
        <v>6.5459062176942799</v>
      </c>
      <c r="F29">
        <v>6.3620937746763202</v>
      </c>
      <c r="G29">
        <v>1.2175596952438399</v>
      </c>
      <c r="H29">
        <v>1.4122278690338099</v>
      </c>
      <c r="I29">
        <v>0.71921682357788097</v>
      </c>
      <c r="J29">
        <v>0.57939225435257002</v>
      </c>
      <c r="K29">
        <v>0.17509692907333399</v>
      </c>
      <c r="L29">
        <v>0.178061872720718</v>
      </c>
      <c r="M29">
        <v>2.1724095344543501</v>
      </c>
      <c r="N29">
        <v>2017</v>
      </c>
    </row>
    <row r="30" spans="1:14" x14ac:dyDescent="0.3">
      <c r="A30" s="1" t="s">
        <v>62</v>
      </c>
      <c r="B30">
        <v>29</v>
      </c>
      <c r="C30" t="str">
        <f>VLOOKUP(_2017[[#This Row],[Country]],'2016'!$1:$1048576,2,FALSE)</f>
        <v>Latin America and Caribbean</v>
      </c>
      <c r="D30">
        <v>6.4539999961853001</v>
      </c>
      <c r="E30">
        <v>6.5668739727139496</v>
      </c>
      <c r="F30">
        <v>6.3411260196566603</v>
      </c>
      <c r="G30">
        <v>0.87200194597244296</v>
      </c>
      <c r="H30">
        <v>1.2555851936340301</v>
      </c>
      <c r="I30">
        <v>0.54023998975753795</v>
      </c>
      <c r="J30">
        <v>0.53131061792373702</v>
      </c>
      <c r="K30">
        <v>0.28348839282989502</v>
      </c>
      <c r="L30">
        <v>7.72232785820961E-2</v>
      </c>
      <c r="M30">
        <v>2.8938910961151101</v>
      </c>
      <c r="N30">
        <v>2017</v>
      </c>
    </row>
    <row r="31" spans="1:14" x14ac:dyDescent="0.3">
      <c r="A31" s="1" t="s">
        <v>42</v>
      </c>
      <c r="B31">
        <v>30</v>
      </c>
      <c r="C31" t="str">
        <f>VLOOKUP(_2017[[#This Row],[Country]],'2016'!$1:$1048576,2,FALSE)</f>
        <v>Latin America and Caribbean</v>
      </c>
      <c r="D31">
        <v>6.4520001411437997</v>
      </c>
      <c r="E31">
        <v>6.5571307161450401</v>
      </c>
      <c r="F31">
        <v>6.3468695661425603</v>
      </c>
      <c r="G31">
        <v>1.23374843597412</v>
      </c>
      <c r="H31">
        <v>1.3731925487518299</v>
      </c>
      <c r="I31">
        <v>0.70615613460540805</v>
      </c>
      <c r="J31">
        <v>0.55002683401107799</v>
      </c>
      <c r="K31">
        <v>0.21055693924426999</v>
      </c>
      <c r="L31">
        <v>7.0983923971652998E-2</v>
      </c>
      <c r="M31">
        <v>2.30719995498657</v>
      </c>
      <c r="N31">
        <v>2017</v>
      </c>
    </row>
    <row r="32" spans="1:14" x14ac:dyDescent="0.3">
      <c r="A32" s="1" t="s">
        <v>46</v>
      </c>
      <c r="B32">
        <v>31</v>
      </c>
      <c r="C32" t="str">
        <f>VLOOKUP(_2017[[#This Row],[Country]],'2016'!$1:$1048576,2,FALSE)</f>
        <v>Western Europe</v>
      </c>
      <c r="D32">
        <v>6.4419999122619602</v>
      </c>
      <c r="E32">
        <v>6.5157678024470798</v>
      </c>
      <c r="F32">
        <v>6.3682320220768496</v>
      </c>
      <c r="G32">
        <v>1.4309234619140601</v>
      </c>
      <c r="H32">
        <v>1.3877768516540501</v>
      </c>
      <c r="I32">
        <v>0.844465851783752</v>
      </c>
      <c r="J32">
        <v>0.47022211551666299</v>
      </c>
      <c r="K32">
        <v>0.12976230680942499</v>
      </c>
      <c r="L32">
        <v>0.17250242829322801</v>
      </c>
      <c r="M32">
        <v>2.0059547424316402</v>
      </c>
      <c r="N32">
        <v>2017</v>
      </c>
    </row>
    <row r="33" spans="1:14" x14ac:dyDescent="0.3">
      <c r="A33" s="1" t="s">
        <v>52</v>
      </c>
      <c r="B33">
        <v>32</v>
      </c>
      <c r="C33" t="str">
        <f>VLOOKUP(_2017[[#This Row],[Country]],'2016'!$1:$1048576,2,FALSE)</f>
        <v>Southeastern Asia</v>
      </c>
      <c r="D33">
        <v>6.4239997863769496</v>
      </c>
      <c r="E33">
        <v>6.5091168557107402</v>
      </c>
      <c r="F33">
        <v>6.3388827170431599</v>
      </c>
      <c r="G33">
        <v>1.12786877155304</v>
      </c>
      <c r="H33">
        <v>1.42579245567322</v>
      </c>
      <c r="I33">
        <v>0.647239029407501</v>
      </c>
      <c r="J33">
        <v>0.58020073175430298</v>
      </c>
      <c r="K33">
        <v>0.57212311029434204</v>
      </c>
      <c r="L33">
        <v>3.16127352416515E-2</v>
      </c>
      <c r="M33">
        <v>2.0395083427429199</v>
      </c>
      <c r="N33">
        <v>2017</v>
      </c>
    </row>
    <row r="34" spans="1:14" x14ac:dyDescent="0.3">
      <c r="A34" s="1" t="s">
        <v>196</v>
      </c>
      <c r="B34">
        <v>33</v>
      </c>
      <c r="C34" t="s">
        <v>57</v>
      </c>
      <c r="D34">
        <v>6.4219999313354501</v>
      </c>
      <c r="E34">
        <v>6.4945960219204402</v>
      </c>
      <c r="F34">
        <v>6.34940384075046</v>
      </c>
      <c r="G34">
        <v>1.43362653255463</v>
      </c>
      <c r="H34">
        <v>1.38456535339355</v>
      </c>
      <c r="I34">
        <v>0.793984234333038</v>
      </c>
      <c r="J34">
        <v>0.36146658658981301</v>
      </c>
      <c r="K34">
        <v>0.258360475301743</v>
      </c>
      <c r="L34">
        <v>6.3829235732555403E-2</v>
      </c>
      <c r="M34">
        <v>2.1266074180603001</v>
      </c>
      <c r="N34">
        <v>2017</v>
      </c>
    </row>
    <row r="35" spans="1:14" x14ac:dyDescent="0.3">
      <c r="A35" s="1" t="s">
        <v>54</v>
      </c>
      <c r="B35">
        <v>34</v>
      </c>
      <c r="C35" t="str">
        <f>VLOOKUP(_2017[[#This Row],[Country]],'2016'!$1:$1048576,2,FALSE)</f>
        <v>Western Europe</v>
      </c>
      <c r="D35">
        <v>6.4029998779296902</v>
      </c>
      <c r="E35">
        <v>6.4710548453032999</v>
      </c>
      <c r="F35">
        <v>6.3349449105560804</v>
      </c>
      <c r="G35">
        <v>1.3843978643417401</v>
      </c>
      <c r="H35">
        <v>1.5320909023284901</v>
      </c>
      <c r="I35">
        <v>0.88896059989929199</v>
      </c>
      <c r="J35">
        <v>0.40878123044967701</v>
      </c>
      <c r="K35">
        <v>0.190133571624756</v>
      </c>
      <c r="L35">
        <v>7.0914097130298601E-2</v>
      </c>
      <c r="M35">
        <v>1.92775774002075</v>
      </c>
      <c r="N35">
        <v>2017</v>
      </c>
    </row>
    <row r="36" spans="1:14" x14ac:dyDescent="0.3">
      <c r="A36" s="1" t="s">
        <v>45</v>
      </c>
      <c r="B36">
        <v>35</v>
      </c>
      <c r="C36" t="str">
        <f>VLOOKUP(_2017[[#This Row],[Country]],'2016'!$1:$1048576,2,FALSE)</f>
        <v>Middle East and Northern Africa</v>
      </c>
      <c r="D36">
        <v>6.375</v>
      </c>
      <c r="E36">
        <v>6.5684768143296202</v>
      </c>
      <c r="F36">
        <v>6.1815231856703798</v>
      </c>
      <c r="G36">
        <v>1.87076568603516</v>
      </c>
      <c r="H36">
        <v>1.27429687976837</v>
      </c>
      <c r="I36">
        <v>0.71009808778762795</v>
      </c>
      <c r="J36">
        <v>0.60413098335266102</v>
      </c>
      <c r="K36">
        <v>0.33047387003898598</v>
      </c>
      <c r="L36">
        <v>0.439299255609512</v>
      </c>
      <c r="M36">
        <v>1.1454644203186</v>
      </c>
      <c r="N36">
        <v>2017</v>
      </c>
    </row>
    <row r="37" spans="1:14" x14ac:dyDescent="0.3">
      <c r="A37" s="1" t="s">
        <v>51</v>
      </c>
      <c r="B37">
        <v>36</v>
      </c>
      <c r="C37" t="str">
        <f>VLOOKUP(_2017[[#This Row],[Country]],'2016'!$1:$1048576,2,FALSE)</f>
        <v>Latin America and Caribbean</v>
      </c>
      <c r="D37">
        <v>6.3569998741149902</v>
      </c>
      <c r="E37">
        <v>6.45202005416155</v>
      </c>
      <c r="F37">
        <v>6.2619796940684296</v>
      </c>
      <c r="G37">
        <v>1.07062232494354</v>
      </c>
      <c r="H37">
        <v>1.4021829366684</v>
      </c>
      <c r="I37">
        <v>0.59502792358398404</v>
      </c>
      <c r="J37">
        <v>0.47748741507530201</v>
      </c>
      <c r="K37">
        <v>0.149014472961426</v>
      </c>
      <c r="L37">
        <v>4.6668741852045101E-2</v>
      </c>
      <c r="M37">
        <v>2.6160681247711199</v>
      </c>
      <c r="N37">
        <v>2017</v>
      </c>
    </row>
    <row r="38" spans="1:14" x14ac:dyDescent="0.3">
      <c r="A38" s="1" t="s">
        <v>53</v>
      </c>
      <c r="B38">
        <v>37</v>
      </c>
      <c r="C38" t="str">
        <f>VLOOKUP(_2017[[#This Row],[Country]],'2016'!$1:$1048576,2,FALSE)</f>
        <v>Middle East and Northern Africa</v>
      </c>
      <c r="D38">
        <v>6.3439998626709002</v>
      </c>
      <c r="E38">
        <v>6.4441666120290799</v>
      </c>
      <c r="F38">
        <v>6.2438331133127196</v>
      </c>
      <c r="G38">
        <v>1.53062355518341</v>
      </c>
      <c r="H38">
        <v>1.28667759895325</v>
      </c>
      <c r="I38">
        <v>0.59014832973480202</v>
      </c>
      <c r="J38">
        <v>0.44975057244300798</v>
      </c>
      <c r="K38">
        <v>0.14761601388454401</v>
      </c>
      <c r="L38">
        <v>0.27343225479125999</v>
      </c>
      <c r="M38">
        <v>2.0654296875</v>
      </c>
      <c r="N38">
        <v>2017</v>
      </c>
    </row>
    <row r="39" spans="1:14" x14ac:dyDescent="0.3">
      <c r="A39" s="1" t="s">
        <v>60</v>
      </c>
      <c r="B39">
        <v>38</v>
      </c>
      <c r="C39" t="str">
        <f>VLOOKUP(_2017[[#This Row],[Country]],'2016'!$1:$1048576,2,FALSE)</f>
        <v>Latin America and Caribbean</v>
      </c>
      <c r="D39">
        <v>6.1680002212524396</v>
      </c>
      <c r="E39">
        <v>6.3815338906645804</v>
      </c>
      <c r="F39">
        <v>5.9544665518403104</v>
      </c>
      <c r="G39">
        <v>1.36135590076447</v>
      </c>
      <c r="H39">
        <v>1.3802285194396999</v>
      </c>
      <c r="I39">
        <v>0.51998329162597701</v>
      </c>
      <c r="J39">
        <v>0.51863074302673295</v>
      </c>
      <c r="K39">
        <v>0.325296461582184</v>
      </c>
      <c r="L39">
        <v>8.9648161083459906E-3</v>
      </c>
      <c r="M39">
        <v>2.0532474517822301</v>
      </c>
      <c r="N39">
        <v>2017</v>
      </c>
    </row>
    <row r="40" spans="1:14" x14ac:dyDescent="0.3">
      <c r="A40" s="1" t="s">
        <v>58</v>
      </c>
      <c r="B40">
        <v>39</v>
      </c>
      <c r="C40" t="str">
        <f>VLOOKUP(_2017[[#This Row],[Country]],'2016'!$1:$1048576,2,FALSE)</f>
        <v>Middle East and Northern Africa</v>
      </c>
      <c r="D40">
        <v>6.1050000190734899</v>
      </c>
      <c r="E40">
        <v>6.1919569888710999</v>
      </c>
      <c r="F40">
        <v>6.0180430492758799</v>
      </c>
      <c r="G40">
        <v>1.63295245170593</v>
      </c>
      <c r="H40">
        <v>1.25969874858856</v>
      </c>
      <c r="I40">
        <v>0.63210570812225297</v>
      </c>
      <c r="J40">
        <v>0.49633759260177601</v>
      </c>
      <c r="K40">
        <v>0.22828979790210699</v>
      </c>
      <c r="L40">
        <v>0.21515955030918099</v>
      </c>
      <c r="M40">
        <v>1.64042520523071</v>
      </c>
      <c r="N40">
        <v>2017</v>
      </c>
    </row>
    <row r="41" spans="1:14" x14ac:dyDescent="0.3">
      <c r="A41" s="1" t="s">
        <v>64</v>
      </c>
      <c r="B41">
        <v>40</v>
      </c>
      <c r="C41" t="str">
        <f>VLOOKUP(_2017[[#This Row],[Country]],'2016'!$1:$1048576,2,FALSE)</f>
        <v>Central and Eastern Europe</v>
      </c>
      <c r="D41">
        <v>6.09800004959106</v>
      </c>
      <c r="E41">
        <v>6.1773484121262996</v>
      </c>
      <c r="F41">
        <v>6.0186516870558302</v>
      </c>
      <c r="G41">
        <v>1.3253935575485201</v>
      </c>
      <c r="H41">
        <v>1.50505924224854</v>
      </c>
      <c r="I41">
        <v>0.71273291110992398</v>
      </c>
      <c r="J41">
        <v>0.29581746459007302</v>
      </c>
      <c r="K41">
        <v>0.13654448091983801</v>
      </c>
      <c r="L41">
        <v>2.4210851639509201E-2</v>
      </c>
      <c r="M41">
        <v>2.0977766513824498</v>
      </c>
      <c r="N41">
        <v>2017</v>
      </c>
    </row>
    <row r="42" spans="1:14" x14ac:dyDescent="0.3">
      <c r="A42" s="1" t="s">
        <v>68</v>
      </c>
      <c r="B42">
        <v>41</v>
      </c>
      <c r="C42" t="str">
        <f>VLOOKUP(_2017[[#This Row],[Country]],'2016'!$1:$1048576,2,FALSE)</f>
        <v>Middle East and Northern Africa</v>
      </c>
      <c r="D42">
        <v>6.0869998931884801</v>
      </c>
      <c r="E42">
        <v>6.1789890678226902</v>
      </c>
      <c r="F42">
        <v>5.9950107185542603</v>
      </c>
      <c r="G42">
        <v>1.4884122610092201</v>
      </c>
      <c r="H42">
        <v>1.3231104612350499</v>
      </c>
      <c r="I42">
        <v>0.65313303470611594</v>
      </c>
      <c r="J42">
        <v>0.53674691915512096</v>
      </c>
      <c r="K42">
        <v>0.172668486833572</v>
      </c>
      <c r="L42">
        <v>0.25704216957092302</v>
      </c>
      <c r="M42">
        <v>1.65614938735962</v>
      </c>
      <c r="N42">
        <v>2017</v>
      </c>
    </row>
    <row r="43" spans="1:14" x14ac:dyDescent="0.3">
      <c r="A43" s="1" t="s">
        <v>80</v>
      </c>
      <c r="B43">
        <v>42</v>
      </c>
      <c r="C43" t="str">
        <f>VLOOKUP(_2017[[#This Row],[Country]],'2016'!$1:$1048576,2,FALSE)</f>
        <v>Southeastern Asia</v>
      </c>
      <c r="D43">
        <v>6.0840001106262198</v>
      </c>
      <c r="E43">
        <v>6.1799796365201498</v>
      </c>
      <c r="F43">
        <v>5.9880205847322898</v>
      </c>
      <c r="G43">
        <v>1.29121541976929</v>
      </c>
      <c r="H43">
        <v>1.28464603424072</v>
      </c>
      <c r="I43">
        <v>0.61878442764282204</v>
      </c>
      <c r="J43">
        <v>0.40226498246192899</v>
      </c>
      <c r="K43">
        <v>0.41660892963409402</v>
      </c>
      <c r="L43">
        <v>6.5600708127021803E-2</v>
      </c>
      <c r="M43">
        <v>2.00444889068604</v>
      </c>
      <c r="N43">
        <v>2017</v>
      </c>
    </row>
    <row r="44" spans="1:14" x14ac:dyDescent="0.3">
      <c r="A44" s="1" t="s">
        <v>76</v>
      </c>
      <c r="B44">
        <v>43</v>
      </c>
      <c r="C44" t="str">
        <f>VLOOKUP(_2017[[#This Row],[Country]],'2016'!$1:$1048576,2,FALSE)</f>
        <v>Latin America and Caribbean</v>
      </c>
      <c r="D44">
        <v>6.0710000991821298</v>
      </c>
      <c r="E44">
        <v>6.1865836003422698</v>
      </c>
      <c r="F44">
        <v>5.95541659802198</v>
      </c>
      <c r="G44">
        <v>0.737299203872681</v>
      </c>
      <c r="H44">
        <v>1.28721570968628</v>
      </c>
      <c r="I44">
        <v>0.65309596061706499</v>
      </c>
      <c r="J44">
        <v>0.44755184650421098</v>
      </c>
      <c r="K44">
        <v>0.30167421698570301</v>
      </c>
      <c r="L44">
        <v>0.130687981843948</v>
      </c>
      <c r="M44">
        <v>2.5139305591583301</v>
      </c>
      <c r="N44">
        <v>2017</v>
      </c>
    </row>
    <row r="45" spans="1:14" x14ac:dyDescent="0.3">
      <c r="A45" s="1" t="s">
        <v>67</v>
      </c>
      <c r="B45">
        <v>44</v>
      </c>
      <c r="C45" t="str">
        <f>VLOOKUP(_2017[[#This Row],[Country]],'2016'!$1:$1048576,2,FALSE)</f>
        <v>Latin America and Caribbean</v>
      </c>
      <c r="D45">
        <v>6.0079998970031703</v>
      </c>
      <c r="E45">
        <v>6.1058476753532904</v>
      </c>
      <c r="F45">
        <v>5.9101521186530599</v>
      </c>
      <c r="G45">
        <v>1.00082039833069</v>
      </c>
      <c r="H45">
        <v>1.2861688137054399</v>
      </c>
      <c r="I45">
        <v>0.68563622236251798</v>
      </c>
      <c r="J45">
        <v>0.45519819855690002</v>
      </c>
      <c r="K45">
        <v>0.150112465023994</v>
      </c>
      <c r="L45">
        <v>0.140134647488594</v>
      </c>
      <c r="M45">
        <v>2.2903525829315199</v>
      </c>
      <c r="N45">
        <v>2017</v>
      </c>
    </row>
    <row r="46" spans="1:14" x14ac:dyDescent="0.3">
      <c r="A46" s="1" t="s">
        <v>61</v>
      </c>
      <c r="B46">
        <v>45</v>
      </c>
      <c r="C46" t="str">
        <f>VLOOKUP(_2017[[#This Row],[Country]],'2016'!$1:$1048576,2,FALSE)</f>
        <v>Latin America and Caribbean</v>
      </c>
      <c r="D46">
        <v>6.0029997825622603</v>
      </c>
      <c r="E46">
        <v>6.1086351223289999</v>
      </c>
      <c r="F46">
        <v>5.8973644427955199</v>
      </c>
      <c r="G46">
        <v>0.909784495830536</v>
      </c>
      <c r="H46">
        <v>1.1821250915527299</v>
      </c>
      <c r="I46">
        <v>0.59601855278015103</v>
      </c>
      <c r="J46">
        <v>0.43245252966880798</v>
      </c>
      <c r="K46">
        <v>7.8257985413074493E-2</v>
      </c>
      <c r="L46">
        <v>8.9980959892272894E-2</v>
      </c>
      <c r="M46">
        <v>2.7145938873290998</v>
      </c>
      <c r="N46">
        <v>2017</v>
      </c>
    </row>
    <row r="47" spans="1:14" x14ac:dyDescent="0.3">
      <c r="A47" s="1" t="s">
        <v>79</v>
      </c>
      <c r="B47">
        <v>46</v>
      </c>
      <c r="C47" t="str">
        <f>VLOOKUP(_2017[[#This Row],[Country]],'2016'!$1:$1048576,2,FALSE)</f>
        <v>Central and Eastern Europe</v>
      </c>
      <c r="D47">
        <v>5.97300004959106</v>
      </c>
      <c r="E47">
        <v>6.0539083412289596</v>
      </c>
      <c r="F47">
        <v>5.8920917579531702</v>
      </c>
      <c r="G47">
        <v>1.29178786277771</v>
      </c>
      <c r="H47">
        <v>1.44571197032928</v>
      </c>
      <c r="I47">
        <v>0.69947534799575795</v>
      </c>
      <c r="J47">
        <v>0.52034211158752397</v>
      </c>
      <c r="K47">
        <v>0.158465966582298</v>
      </c>
      <c r="L47">
        <v>5.9307806193828597E-2</v>
      </c>
      <c r="M47">
        <v>1.79772281646729</v>
      </c>
      <c r="N47">
        <v>2017</v>
      </c>
    </row>
    <row r="48" spans="1:14" x14ac:dyDescent="0.3">
      <c r="A48" s="1" t="s">
        <v>63</v>
      </c>
      <c r="B48">
        <v>47</v>
      </c>
      <c r="C48" t="str">
        <f>VLOOKUP(_2017[[#This Row],[Country]],'2016'!$1:$1048576,2,FALSE)</f>
        <v>Central and Eastern Europe</v>
      </c>
      <c r="D48">
        <v>5.9710001945495597</v>
      </c>
      <c r="E48">
        <v>6.0655375729501202</v>
      </c>
      <c r="F48">
        <v>5.876462816149</v>
      </c>
      <c r="G48">
        <v>0.78644108772277799</v>
      </c>
      <c r="H48">
        <v>1.5489691495895399</v>
      </c>
      <c r="I48">
        <v>0.49827262759208701</v>
      </c>
      <c r="J48">
        <v>0.65824866294860795</v>
      </c>
      <c r="K48">
        <v>0.415983647108078</v>
      </c>
      <c r="L48">
        <v>0.24652822315692899</v>
      </c>
      <c r="M48">
        <v>1.8169136047363299</v>
      </c>
      <c r="N48">
        <v>2017</v>
      </c>
    </row>
    <row r="49" spans="1:14" x14ac:dyDescent="0.3">
      <c r="A49" s="1" t="s">
        <v>69</v>
      </c>
      <c r="B49">
        <v>48</v>
      </c>
      <c r="C49" t="str">
        <f>VLOOKUP(_2017[[#This Row],[Country]],'2016'!$1:$1048576,2,FALSE)</f>
        <v>Western Europe</v>
      </c>
      <c r="D49">
        <v>5.9640002250671396</v>
      </c>
      <c r="E49">
        <v>6.0427369059622302</v>
      </c>
      <c r="F49">
        <v>5.8852635441720498</v>
      </c>
      <c r="G49">
        <v>1.3950666189193699</v>
      </c>
      <c r="H49">
        <v>1.44492328166962</v>
      </c>
      <c r="I49">
        <v>0.85314434766769398</v>
      </c>
      <c r="J49">
        <v>0.25645071268081698</v>
      </c>
      <c r="K49">
        <v>0.17278964817524001</v>
      </c>
      <c r="L49">
        <v>2.8028091415762901E-2</v>
      </c>
      <c r="M49">
        <v>1.8133120536804199</v>
      </c>
      <c r="N49">
        <v>2017</v>
      </c>
    </row>
    <row r="50" spans="1:14" x14ac:dyDescent="0.3">
      <c r="A50" s="1" t="s">
        <v>83</v>
      </c>
      <c r="B50">
        <v>49</v>
      </c>
      <c r="C50" t="str">
        <f>VLOOKUP(_2017[[#This Row],[Country]],'2016'!$1:$1048576,2,FALSE)</f>
        <v>Central and Eastern Europe</v>
      </c>
      <c r="D50">
        <v>5.9629998207092303</v>
      </c>
      <c r="E50">
        <v>6.0302749074995496</v>
      </c>
      <c r="F50">
        <v>5.8957247339189101</v>
      </c>
      <c r="G50">
        <v>1.28177809715271</v>
      </c>
      <c r="H50">
        <v>1.46928238868713</v>
      </c>
      <c r="I50">
        <v>0.547349333763123</v>
      </c>
      <c r="J50">
        <v>0.37378311157226601</v>
      </c>
      <c r="K50">
        <v>5.2263822406530401E-2</v>
      </c>
      <c r="L50">
        <v>3.2962881028652198E-2</v>
      </c>
      <c r="M50">
        <v>2.2056074142456099</v>
      </c>
      <c r="N50">
        <v>2017</v>
      </c>
    </row>
    <row r="51" spans="1:14" x14ac:dyDescent="0.3">
      <c r="A51" s="1" t="s">
        <v>183</v>
      </c>
      <c r="B51">
        <v>50</v>
      </c>
      <c r="C51" t="str">
        <f>VLOOKUP(_2017[[#This Row],[Country]],'2016'!$1:$1048576,2,FALSE)</f>
        <v>Latin America and Caribbean</v>
      </c>
      <c r="D51">
        <v>5.9559998512268102</v>
      </c>
      <c r="E51">
        <v>6.1972423177957499</v>
      </c>
      <c r="F51">
        <v>5.7147573846578599</v>
      </c>
      <c r="G51">
        <v>0.90797531604766801</v>
      </c>
      <c r="H51">
        <v>1.0814177989959699</v>
      </c>
      <c r="I51">
        <v>0.45019176602363598</v>
      </c>
      <c r="J51">
        <v>0.54750937223434404</v>
      </c>
      <c r="K51">
        <v>0.24001564085483601</v>
      </c>
      <c r="L51">
        <v>9.6581071615219102E-2</v>
      </c>
      <c r="M51">
        <v>2.6319556236267099</v>
      </c>
      <c r="N51">
        <v>2017</v>
      </c>
    </row>
    <row r="52" spans="1:14" x14ac:dyDescent="0.3">
      <c r="A52" s="1" t="s">
        <v>65</v>
      </c>
      <c r="B52">
        <v>51</v>
      </c>
      <c r="C52" t="str">
        <f>VLOOKUP(_2017[[#This Row],[Country]],'2016'!$1:$1048576,2,FALSE)</f>
        <v>Eastern Asia</v>
      </c>
      <c r="D52">
        <v>5.9200000762939498</v>
      </c>
      <c r="E52">
        <v>5.9907194446027301</v>
      </c>
      <c r="F52">
        <v>5.8492807079851596</v>
      </c>
      <c r="G52">
        <v>1.41691517829895</v>
      </c>
      <c r="H52">
        <v>1.4363378286361701</v>
      </c>
      <c r="I52">
        <v>0.91347587108612105</v>
      </c>
      <c r="J52">
        <v>0.50562554597854603</v>
      </c>
      <c r="K52">
        <v>0.12057276815176</v>
      </c>
      <c r="L52">
        <v>0.163760736584663</v>
      </c>
      <c r="M52">
        <v>1.3632235527038601</v>
      </c>
      <c r="N52">
        <v>2017</v>
      </c>
    </row>
    <row r="53" spans="1:14" x14ac:dyDescent="0.3">
      <c r="A53" s="1" t="s">
        <v>75</v>
      </c>
      <c r="B53">
        <v>52</v>
      </c>
      <c r="C53" t="str">
        <f>VLOOKUP(_2017[[#This Row],[Country]],'2016'!$1:$1048576,2,FALSE)</f>
        <v>Central and Eastern Europe</v>
      </c>
      <c r="D53">
        <v>5.90199995040894</v>
      </c>
      <c r="E53">
        <v>5.9826696413755398</v>
      </c>
      <c r="F53">
        <v>5.8213302594423304</v>
      </c>
      <c r="G53">
        <v>1.3145823478698699</v>
      </c>
      <c r="H53">
        <v>1.47351610660553</v>
      </c>
      <c r="I53">
        <v>0.62894994020462003</v>
      </c>
      <c r="J53">
        <v>0.23423178493976601</v>
      </c>
      <c r="K53">
        <v>1.0164656676352E-2</v>
      </c>
      <c r="L53">
        <v>1.18656428530812E-2</v>
      </c>
      <c r="M53">
        <v>2.2284405231475799</v>
      </c>
      <c r="N53">
        <v>2017</v>
      </c>
    </row>
    <row r="54" spans="1:14" x14ac:dyDescent="0.3">
      <c r="A54" s="1" t="s">
        <v>87</v>
      </c>
      <c r="B54">
        <v>53</v>
      </c>
      <c r="C54" t="str">
        <f>VLOOKUP(_2017[[#This Row],[Country]],'2016'!$1:$1048576,2,FALSE)</f>
        <v>Middle East and Northern Africa</v>
      </c>
      <c r="D54">
        <v>5.8720002174377397</v>
      </c>
      <c r="E54">
        <v>5.9782864336669403</v>
      </c>
      <c r="F54">
        <v>5.7657140012085399</v>
      </c>
      <c r="G54">
        <v>1.09186446666718</v>
      </c>
      <c r="H54">
        <v>1.1462174654007</v>
      </c>
      <c r="I54">
        <v>0.61758464574813798</v>
      </c>
      <c r="J54">
        <v>0.23333580791950201</v>
      </c>
      <c r="K54">
        <v>6.9436646997928606E-2</v>
      </c>
      <c r="L54">
        <v>0.14609611034393299</v>
      </c>
      <c r="M54">
        <v>2.5676038265228298</v>
      </c>
      <c r="N54">
        <v>2017</v>
      </c>
    </row>
    <row r="55" spans="1:14" x14ac:dyDescent="0.3">
      <c r="A55" s="1" t="s">
        <v>110</v>
      </c>
      <c r="B55">
        <v>54</v>
      </c>
      <c r="C55" t="str">
        <f>VLOOKUP(_2017[[#This Row],[Country]],'2016'!$1:$1048576,2,FALSE)</f>
        <v>Central and Eastern Europe</v>
      </c>
      <c r="D55">
        <v>5.8499999046325701</v>
      </c>
      <c r="E55">
        <v>5.9202635382115796</v>
      </c>
      <c r="F55">
        <v>5.77973627105355</v>
      </c>
      <c r="G55">
        <v>1.26074862480164</v>
      </c>
      <c r="H55">
        <v>1.4047149419784499</v>
      </c>
      <c r="I55">
        <v>0.63856697082519498</v>
      </c>
      <c r="J55">
        <v>0.32570791244506803</v>
      </c>
      <c r="K55">
        <v>0.153074786067009</v>
      </c>
      <c r="L55">
        <v>7.3842726647853907E-2</v>
      </c>
      <c r="M55">
        <v>1.9936552047729501</v>
      </c>
      <c r="N55">
        <v>2017</v>
      </c>
    </row>
    <row r="56" spans="1:14" x14ac:dyDescent="0.3">
      <c r="A56" s="1" t="s">
        <v>66</v>
      </c>
      <c r="B56">
        <v>55</v>
      </c>
      <c r="C56" t="str">
        <f>VLOOKUP(_2017[[#This Row],[Country]],'2016'!$1:$1048576,2,FALSE)</f>
        <v>Eastern Asia</v>
      </c>
      <c r="D56">
        <v>5.8379998207092303</v>
      </c>
      <c r="E56">
        <v>5.9225590282678597</v>
      </c>
      <c r="F56">
        <v>5.7534406131506</v>
      </c>
      <c r="G56">
        <v>1.40167844295502</v>
      </c>
      <c r="H56">
        <v>1.12827444076538</v>
      </c>
      <c r="I56">
        <v>0.90021407604217496</v>
      </c>
      <c r="J56">
        <v>0.25792166590690602</v>
      </c>
      <c r="K56">
        <v>0.20667436718940699</v>
      </c>
      <c r="L56">
        <v>6.3282668590545696E-2</v>
      </c>
      <c r="M56">
        <v>1.8803780078887899</v>
      </c>
      <c r="N56">
        <v>2017</v>
      </c>
    </row>
    <row r="57" spans="1:14" x14ac:dyDescent="0.3">
      <c r="A57" s="1" t="s">
        <v>71</v>
      </c>
      <c r="B57">
        <v>56</v>
      </c>
      <c r="C57" t="str">
        <f>VLOOKUP(_2017[[#This Row],[Country]],'2016'!$1:$1048576,2,FALSE)</f>
        <v>Central and Eastern Europe</v>
      </c>
      <c r="D57">
        <v>5.8379998207092303</v>
      </c>
      <c r="E57">
        <v>5.90837083846331</v>
      </c>
      <c r="F57">
        <v>5.7676288029551497</v>
      </c>
      <c r="G57">
        <v>0.728870630264282</v>
      </c>
      <c r="H57">
        <v>1.25182557106018</v>
      </c>
      <c r="I57">
        <v>0.58946520090103105</v>
      </c>
      <c r="J57">
        <v>0.24072904884815199</v>
      </c>
      <c r="K57">
        <v>0.208779126405716</v>
      </c>
      <c r="L57">
        <v>1.00912861526012E-2</v>
      </c>
      <c r="M57">
        <v>2.8078083992004399</v>
      </c>
      <c r="N57">
        <v>2017</v>
      </c>
    </row>
    <row r="58" spans="1:14" x14ac:dyDescent="0.3">
      <c r="A58" s="1" t="s">
        <v>107</v>
      </c>
      <c r="B58">
        <v>57</v>
      </c>
      <c r="C58" t="str">
        <f>VLOOKUP(_2017[[#This Row],[Country]],'2016'!$1:$1048576,2,FALSE)</f>
        <v>Central and Eastern Europe</v>
      </c>
      <c r="D58">
        <v>5.8249998092651403</v>
      </c>
      <c r="E58">
        <v>5.9196941567957397</v>
      </c>
      <c r="F58">
        <v>5.7303054617345301</v>
      </c>
      <c r="G58">
        <v>1.21768391132355</v>
      </c>
      <c r="H58">
        <v>1.15009129047394</v>
      </c>
      <c r="I58">
        <v>0.68515831232070901</v>
      </c>
      <c r="J58">
        <v>0.45700374245643599</v>
      </c>
      <c r="K58">
        <v>0.133519917726517</v>
      </c>
      <c r="L58">
        <v>4.3879006989300303E-3</v>
      </c>
      <c r="M58">
        <v>2.1768314838409402</v>
      </c>
      <c r="N58">
        <v>2017</v>
      </c>
    </row>
    <row r="59" spans="1:14" x14ac:dyDescent="0.3">
      <c r="A59" s="1" t="s">
        <v>70</v>
      </c>
      <c r="B59">
        <v>58</v>
      </c>
      <c r="C59" t="str">
        <f>VLOOKUP(_2017[[#This Row],[Country]],'2016'!$1:$1048576,2,FALSE)</f>
        <v>Latin America and Caribbean</v>
      </c>
      <c r="D59">
        <v>5.8229999542236301</v>
      </c>
      <c r="E59">
        <v>5.9039769025147004</v>
      </c>
      <c r="F59">
        <v>5.7420230059325696</v>
      </c>
      <c r="G59">
        <v>0.83375656604766801</v>
      </c>
      <c r="H59">
        <v>1.2276190519332899</v>
      </c>
      <c r="I59">
        <v>0.47363024950027499</v>
      </c>
      <c r="J59">
        <v>0.55873292684555098</v>
      </c>
      <c r="K59">
        <v>0.22556072473526001</v>
      </c>
      <c r="L59">
        <v>6.0477726161479901E-2</v>
      </c>
      <c r="M59">
        <v>2.4432790279388401</v>
      </c>
      <c r="N59">
        <v>2017</v>
      </c>
    </row>
    <row r="60" spans="1:14" x14ac:dyDescent="0.3">
      <c r="A60" s="1" t="s">
        <v>89</v>
      </c>
      <c r="B60">
        <v>59</v>
      </c>
      <c r="C60" t="str">
        <f>VLOOKUP(_2017[[#This Row],[Country]],'2016'!$1:$1048576,2,FALSE)</f>
        <v>Central and Eastern Europe</v>
      </c>
      <c r="D60">
        <v>5.82200002670288</v>
      </c>
      <c r="E60">
        <v>5.8851808755099801</v>
      </c>
      <c r="F60">
        <v>5.7588191778957798</v>
      </c>
      <c r="G60">
        <v>1.13077676296234</v>
      </c>
      <c r="H60">
        <v>1.4931491613388099</v>
      </c>
      <c r="I60">
        <v>0.437726080417633</v>
      </c>
      <c r="J60">
        <v>0.41827192902565002</v>
      </c>
      <c r="K60">
        <v>0.24992498755455</v>
      </c>
      <c r="L60">
        <v>0.259270340204239</v>
      </c>
      <c r="M60">
        <v>1.8329098224639899</v>
      </c>
      <c r="N60">
        <v>2017</v>
      </c>
    </row>
    <row r="61" spans="1:14" x14ac:dyDescent="0.3">
      <c r="A61" s="1" t="s">
        <v>73</v>
      </c>
      <c r="B61">
        <v>60</v>
      </c>
      <c r="C61" t="str">
        <f>VLOOKUP(_2017[[#This Row],[Country]],'2016'!$1:$1048576,2,FALSE)</f>
        <v>Central and Eastern Europe</v>
      </c>
      <c r="D61">
        <v>5.8189997673034703</v>
      </c>
      <c r="E61">
        <v>5.9036417746543899</v>
      </c>
      <c r="F61">
        <v>5.7343577599525499</v>
      </c>
      <c r="G61">
        <v>1.28455626964569</v>
      </c>
      <c r="H61">
        <v>1.3843690156936601</v>
      </c>
      <c r="I61">
        <v>0.60604155063629195</v>
      </c>
      <c r="J61">
        <v>0.437454283237457</v>
      </c>
      <c r="K61">
        <v>0.20196442306041701</v>
      </c>
      <c r="L61">
        <v>0.119282886385918</v>
      </c>
      <c r="M61">
        <v>1.7848925590515099</v>
      </c>
      <c r="N61">
        <v>2017</v>
      </c>
    </row>
    <row r="62" spans="1:14" x14ac:dyDescent="0.3">
      <c r="A62" s="1" t="s">
        <v>85</v>
      </c>
      <c r="B62">
        <v>61</v>
      </c>
      <c r="C62" t="str">
        <f>VLOOKUP(_2017[[#This Row],[Country]],'2016'!$1:$1048576,2,FALSE)</f>
        <v>Western Europe</v>
      </c>
      <c r="D62">
        <v>5.8099999427795401</v>
      </c>
      <c r="E62">
        <v>5.8973664648830901</v>
      </c>
      <c r="F62">
        <v>5.7226334206759901</v>
      </c>
      <c r="G62">
        <v>1.3469113111496001</v>
      </c>
      <c r="H62">
        <v>1.1863033771514899</v>
      </c>
      <c r="I62">
        <v>0.83464723825454701</v>
      </c>
      <c r="J62">
        <v>0.47120362520217901</v>
      </c>
      <c r="K62">
        <v>0.266845703125</v>
      </c>
      <c r="L62">
        <v>0.15535335242748299</v>
      </c>
      <c r="M62">
        <v>1.5491576194763199</v>
      </c>
      <c r="N62">
        <v>2017</v>
      </c>
    </row>
    <row r="63" spans="1:14" x14ac:dyDescent="0.3">
      <c r="A63" s="1" t="s">
        <v>74</v>
      </c>
      <c r="B63">
        <v>62</v>
      </c>
      <c r="C63" t="str">
        <f>VLOOKUP(_2017[[#This Row],[Country]],'2016'!$1:$1048576,2,FALSE)</f>
        <v>Central and Eastern Europe</v>
      </c>
      <c r="D63">
        <v>5.7579998970031703</v>
      </c>
      <c r="E63">
        <v>5.8422251600027097</v>
      </c>
      <c r="F63">
        <v>5.6737746340036397</v>
      </c>
      <c r="G63">
        <v>1.3412059545517001</v>
      </c>
      <c r="H63">
        <v>1.4525188207626301</v>
      </c>
      <c r="I63">
        <v>0.79082822799682595</v>
      </c>
      <c r="J63">
        <v>0.57257580757141102</v>
      </c>
      <c r="K63">
        <v>0.24264909327030201</v>
      </c>
      <c r="L63">
        <v>4.5128978788852699E-2</v>
      </c>
      <c r="M63">
        <v>1.3133172988891599</v>
      </c>
      <c r="N63">
        <v>2017</v>
      </c>
    </row>
    <row r="64" spans="1:14" x14ac:dyDescent="0.3">
      <c r="A64" s="1" t="s">
        <v>77</v>
      </c>
      <c r="B64">
        <v>63</v>
      </c>
      <c r="C64" t="str">
        <f>VLOOKUP(_2017[[#This Row],[Country]],'2016'!$1:$1048576,2,FALSE)</f>
        <v>Latin America and Caribbean</v>
      </c>
      <c r="D64">
        <v>5.7150001525878897</v>
      </c>
      <c r="E64">
        <v>5.8119467785954502</v>
      </c>
      <c r="F64">
        <v>5.6180535265803302</v>
      </c>
      <c r="G64">
        <v>1.0352252721786499</v>
      </c>
      <c r="H64">
        <v>1.2187703847885101</v>
      </c>
      <c r="I64">
        <v>0.63016611337661699</v>
      </c>
      <c r="J64">
        <v>0.45000287890434298</v>
      </c>
      <c r="K64">
        <v>0.12681971490383101</v>
      </c>
      <c r="L64">
        <v>4.7049086540937403E-2</v>
      </c>
      <c r="M64">
        <v>2.2072694301605198</v>
      </c>
      <c r="N64">
        <v>2017</v>
      </c>
    </row>
    <row r="65" spans="1:14" x14ac:dyDescent="0.3">
      <c r="A65" s="1" t="s">
        <v>90</v>
      </c>
      <c r="B65">
        <v>64</v>
      </c>
      <c r="C65" t="str">
        <f>VLOOKUP(_2017[[#This Row],[Country]],'2016'!$1:$1048576,2,FALSE)</f>
        <v>Sub-Saharan Africa</v>
      </c>
      <c r="D65">
        <v>5.6290001869201696</v>
      </c>
      <c r="E65">
        <v>5.72986219167709</v>
      </c>
      <c r="F65">
        <v>5.5281381821632403</v>
      </c>
      <c r="G65">
        <v>1.1893955469131501</v>
      </c>
      <c r="H65">
        <v>1.20956099033356</v>
      </c>
      <c r="I65">
        <v>0.63800746202468905</v>
      </c>
      <c r="J65">
        <v>0.49124732613563499</v>
      </c>
      <c r="K65">
        <v>0.36093375086784402</v>
      </c>
      <c r="L65">
        <v>4.2181555181741701E-2</v>
      </c>
      <c r="M65">
        <v>1.6975839138030999</v>
      </c>
      <c r="N65">
        <v>2017</v>
      </c>
    </row>
    <row r="66" spans="1:14" x14ac:dyDescent="0.3">
      <c r="A66" s="1" t="s">
        <v>86</v>
      </c>
      <c r="B66">
        <v>65</v>
      </c>
      <c r="C66" t="str">
        <f>VLOOKUP(_2017[[#This Row],[Country]],'2016'!$1:$1048576,2,FALSE)</f>
        <v>Western Europe</v>
      </c>
      <c r="D66">
        <v>5.6209998130798304</v>
      </c>
      <c r="E66">
        <v>5.7146926993131597</v>
      </c>
      <c r="F66">
        <v>5.5273069268465003</v>
      </c>
      <c r="G66">
        <v>1.3559380769729601</v>
      </c>
      <c r="H66">
        <v>1.13136327266693</v>
      </c>
      <c r="I66">
        <v>0.84471470117569003</v>
      </c>
      <c r="J66">
        <v>0.35511153936386097</v>
      </c>
      <c r="K66">
        <v>0.27125430107116699</v>
      </c>
      <c r="L66">
        <v>4.1237976402044303E-2</v>
      </c>
      <c r="M66">
        <v>1.62124919891357</v>
      </c>
      <c r="N66">
        <v>2017</v>
      </c>
    </row>
    <row r="67" spans="1:14" x14ac:dyDescent="0.3">
      <c r="A67" s="1" t="s">
        <v>93</v>
      </c>
      <c r="B67">
        <v>66</v>
      </c>
      <c r="C67" t="str">
        <f>VLOOKUP(_2017[[#This Row],[Country]],'2016'!$1:$1048576,2,FALSE)</f>
        <v>Central and Eastern Europe</v>
      </c>
      <c r="D67">
        <v>5.6110000610351598</v>
      </c>
      <c r="E67">
        <v>5.6881398741900897</v>
      </c>
      <c r="F67">
        <v>5.5338602478802201</v>
      </c>
      <c r="G67">
        <v>1.32087934017181</v>
      </c>
      <c r="H67">
        <v>1.4766710996627801</v>
      </c>
      <c r="I67">
        <v>0.695168316364288</v>
      </c>
      <c r="J67">
        <v>0.479131430387497</v>
      </c>
      <c r="K67">
        <v>9.8890811204910306E-2</v>
      </c>
      <c r="L67">
        <v>0.183248922228813</v>
      </c>
      <c r="M67">
        <v>1.3575086593627901</v>
      </c>
      <c r="N67">
        <v>2017</v>
      </c>
    </row>
    <row r="68" spans="1:14" x14ac:dyDescent="0.3">
      <c r="A68" s="1" t="s">
        <v>78</v>
      </c>
      <c r="B68">
        <v>67</v>
      </c>
      <c r="C68" t="str">
        <f>VLOOKUP(_2017[[#This Row],[Country]],'2016'!$1:$1048576,2,FALSE)</f>
        <v>Central and Eastern Europe</v>
      </c>
      <c r="D68">
        <v>5.5689997673034703</v>
      </c>
      <c r="E68">
        <v>5.6461142440140204</v>
      </c>
      <c r="F68">
        <v>5.4918852905929096</v>
      </c>
      <c r="G68">
        <v>1.1565575599670399</v>
      </c>
      <c r="H68">
        <v>1.44494521617889</v>
      </c>
      <c r="I68">
        <v>0.63771426677703902</v>
      </c>
      <c r="J68">
        <v>0.29540026187896701</v>
      </c>
      <c r="K68">
        <v>0.15513750910759</v>
      </c>
      <c r="L68">
        <v>0.156313821673393</v>
      </c>
      <c r="M68">
        <v>1.72323298454285</v>
      </c>
      <c r="N68">
        <v>2017</v>
      </c>
    </row>
    <row r="69" spans="1:14" x14ac:dyDescent="0.3">
      <c r="A69" s="1" t="s">
        <v>82</v>
      </c>
      <c r="B69">
        <v>68</v>
      </c>
      <c r="C69" t="str">
        <f>VLOOKUP(_2017[[#This Row],[Country]],'2016'!$1:$1048576,2,FALSE)</f>
        <v>Middle East and Northern Africa</v>
      </c>
      <c r="D69">
        <v>5.5250000953674299</v>
      </c>
      <c r="E69">
        <v>5.6769538068771404</v>
      </c>
      <c r="F69">
        <v>5.37304638385773</v>
      </c>
      <c r="G69">
        <v>1.1018030643463099</v>
      </c>
      <c r="H69">
        <v>1.3575643301010101</v>
      </c>
      <c r="I69">
        <v>0.52016901969909701</v>
      </c>
      <c r="J69">
        <v>0.46573323011398299</v>
      </c>
      <c r="K69">
        <v>0.15207366645336201</v>
      </c>
      <c r="L69">
        <v>9.2610210180282607E-2</v>
      </c>
      <c r="M69">
        <v>1.83501124382019</v>
      </c>
      <c r="N69">
        <v>2017</v>
      </c>
    </row>
    <row r="70" spans="1:14" x14ac:dyDescent="0.3">
      <c r="A70" s="1" t="s">
        <v>96</v>
      </c>
      <c r="B70">
        <v>69</v>
      </c>
      <c r="C70" t="str">
        <f>VLOOKUP(_2017[[#This Row],[Country]],'2016'!$1:$1048576,2,FALSE)</f>
        <v>Middle East and Northern Africa</v>
      </c>
      <c r="D70">
        <v>5.5</v>
      </c>
      <c r="E70">
        <v>5.5948649632930803</v>
      </c>
      <c r="F70">
        <v>5.4051350367069197</v>
      </c>
      <c r="G70">
        <v>1.19827437400818</v>
      </c>
      <c r="H70">
        <v>1.3377531766891499</v>
      </c>
      <c r="I70">
        <v>0.63760560750961304</v>
      </c>
      <c r="J70">
        <v>0.30074059963226302</v>
      </c>
      <c r="K70">
        <v>4.6693041920661899E-2</v>
      </c>
      <c r="L70">
        <v>9.9671579897403703E-2</v>
      </c>
      <c r="M70">
        <v>1.87927794456482</v>
      </c>
      <c r="N70">
        <v>2017</v>
      </c>
    </row>
    <row r="71" spans="1:14" x14ac:dyDescent="0.3">
      <c r="A71" s="1" t="s">
        <v>72</v>
      </c>
      <c r="B71">
        <v>70</v>
      </c>
      <c r="C71" t="str">
        <f>VLOOKUP(_2017[[#This Row],[Country]],'2016'!$1:$1048576,2,FALSE)</f>
        <v>Latin America and Caribbean</v>
      </c>
      <c r="D71">
        <v>5.4930000305175799</v>
      </c>
      <c r="E71">
        <v>5.5773812696337703</v>
      </c>
      <c r="F71">
        <v>5.4086187914013903</v>
      </c>
      <c r="G71">
        <v>0.93253731727600098</v>
      </c>
      <c r="H71">
        <v>1.50728487968445</v>
      </c>
      <c r="I71">
        <v>0.57925069332122803</v>
      </c>
      <c r="J71">
        <v>0.47350779175758401</v>
      </c>
      <c r="K71">
        <v>0.22415065765380901</v>
      </c>
      <c r="L71">
        <v>9.1065913438796997E-2</v>
      </c>
      <c r="M71">
        <v>1.6853334903717001</v>
      </c>
      <c r="N71">
        <v>2017</v>
      </c>
    </row>
    <row r="72" spans="1:14" x14ac:dyDescent="0.3">
      <c r="A72" s="1" t="s">
        <v>197</v>
      </c>
      <c r="B72">
        <v>71</v>
      </c>
      <c r="C72" t="s">
        <v>57</v>
      </c>
      <c r="D72">
        <v>5.4720001220703098</v>
      </c>
      <c r="E72">
        <v>5.5495941731333698</v>
      </c>
      <c r="F72">
        <v>5.3944060710072499</v>
      </c>
      <c r="G72">
        <v>1.55167484283447</v>
      </c>
      <c r="H72">
        <v>1.2627909183502199</v>
      </c>
      <c r="I72">
        <v>0.943062424659729</v>
      </c>
      <c r="J72">
        <v>0.49096864461898798</v>
      </c>
      <c r="K72">
        <v>0.37446579337120101</v>
      </c>
      <c r="L72">
        <v>0.29393374919891402</v>
      </c>
      <c r="M72">
        <v>0.55463314056396495</v>
      </c>
      <c r="N72">
        <v>2017</v>
      </c>
    </row>
    <row r="73" spans="1:14" x14ac:dyDescent="0.3">
      <c r="A73" s="1" t="s">
        <v>111</v>
      </c>
      <c r="B73">
        <v>72</v>
      </c>
      <c r="C73" t="str">
        <f>VLOOKUP(_2017[[#This Row],[Country]],'2016'!$1:$1048576,2,FALSE)</f>
        <v>Southeastern Asia</v>
      </c>
      <c r="D73">
        <v>5.4299998283386204</v>
      </c>
      <c r="E73">
        <v>5.5453350542485698</v>
      </c>
      <c r="F73">
        <v>5.3146646024286701</v>
      </c>
      <c r="G73">
        <v>0.85769921541214</v>
      </c>
      <c r="H73">
        <v>1.25391757488251</v>
      </c>
      <c r="I73">
        <v>0.46800905466079701</v>
      </c>
      <c r="J73">
        <v>0.58521467447280895</v>
      </c>
      <c r="K73">
        <v>0.193513423204422</v>
      </c>
      <c r="L73">
        <v>9.9331893026828794E-2</v>
      </c>
      <c r="M73">
        <v>1.9726047515869101</v>
      </c>
      <c r="N73">
        <v>2017</v>
      </c>
    </row>
    <row r="74" spans="1:14" x14ac:dyDescent="0.3">
      <c r="A74" s="1" t="s">
        <v>108</v>
      </c>
      <c r="B74">
        <v>73</v>
      </c>
      <c r="C74" t="str">
        <f>VLOOKUP(_2017[[#This Row],[Country]],'2016'!$1:$1048576,2,FALSE)</f>
        <v>Central and Eastern Europe</v>
      </c>
      <c r="D74">
        <v>5.3949999809265101</v>
      </c>
      <c r="E74">
        <v>5.4915696561336498</v>
      </c>
      <c r="F74">
        <v>5.2984303057193802</v>
      </c>
      <c r="G74">
        <v>1.0693175792694101</v>
      </c>
      <c r="H74">
        <v>1.25818979740143</v>
      </c>
      <c r="I74">
        <v>0.65078467130661</v>
      </c>
      <c r="J74">
        <v>0.20871552824974099</v>
      </c>
      <c r="K74">
        <v>0.22012588381767301</v>
      </c>
      <c r="L74">
        <v>4.0903780609369299E-2</v>
      </c>
      <c r="M74">
        <v>1.9470844268798799</v>
      </c>
      <c r="N74">
        <v>2017</v>
      </c>
    </row>
    <row r="75" spans="1:14" x14ac:dyDescent="0.3">
      <c r="A75" s="1" t="s">
        <v>103</v>
      </c>
      <c r="B75">
        <v>74</v>
      </c>
      <c r="C75" t="str">
        <f>VLOOKUP(_2017[[#This Row],[Country]],'2016'!$1:$1048576,2,FALSE)</f>
        <v>Middle East and Northern Africa</v>
      </c>
      <c r="D75">
        <v>5.3359999656677202</v>
      </c>
      <c r="E75">
        <v>5.4484100224077698</v>
      </c>
      <c r="F75">
        <v>5.2235899089276803</v>
      </c>
      <c r="G75">
        <v>0.99101239442825295</v>
      </c>
      <c r="H75">
        <v>1.2390888929367101</v>
      </c>
      <c r="I75">
        <v>0.60459005832672097</v>
      </c>
      <c r="J75">
        <v>0.41842114925384499</v>
      </c>
      <c r="K75">
        <v>0.172170460224152</v>
      </c>
      <c r="L75">
        <v>0.11980327218771</v>
      </c>
      <c r="M75">
        <v>1.79117655754089</v>
      </c>
      <c r="N75">
        <v>2017</v>
      </c>
    </row>
    <row r="76" spans="1:14" x14ac:dyDescent="0.3">
      <c r="A76" s="1" t="s">
        <v>125</v>
      </c>
      <c r="B76">
        <v>75</v>
      </c>
      <c r="C76" t="str">
        <f>VLOOKUP(_2017[[#This Row],[Country]],'2016'!$1:$1048576,2,FALSE)</f>
        <v>Central and Eastern Europe</v>
      </c>
      <c r="D76">
        <v>5.3239998817443803</v>
      </c>
      <c r="E76">
        <v>5.4030397091805904</v>
      </c>
      <c r="F76">
        <v>5.24496005430818</v>
      </c>
      <c r="G76">
        <v>1.2860119342803999</v>
      </c>
      <c r="H76">
        <v>1.34313309192657</v>
      </c>
      <c r="I76">
        <v>0.687763452529907</v>
      </c>
      <c r="J76">
        <v>0.17586351931095101</v>
      </c>
      <c r="K76">
        <v>7.84016624093056E-2</v>
      </c>
      <c r="L76">
        <v>3.66369374096394E-2</v>
      </c>
      <c r="M76">
        <v>1.71645927429199</v>
      </c>
      <c r="N76">
        <v>2017</v>
      </c>
    </row>
    <row r="77" spans="1:14" x14ac:dyDescent="0.3">
      <c r="A77" s="1" t="s">
        <v>84</v>
      </c>
      <c r="B77">
        <v>76</v>
      </c>
      <c r="C77" t="str">
        <f>VLOOKUP(_2017[[#This Row],[Country]],'2016'!$1:$1048576,2,FALSE)</f>
        <v>Latin America and Caribbean</v>
      </c>
      <c r="D77">
        <v>5.3109998703002903</v>
      </c>
      <c r="E77">
        <v>5.5813987284898801</v>
      </c>
      <c r="F77">
        <v>5.0406010121107103</v>
      </c>
      <c r="G77">
        <v>0.92557930946350098</v>
      </c>
      <c r="H77">
        <v>1.3682180643081701</v>
      </c>
      <c r="I77">
        <v>0.64102238416671797</v>
      </c>
      <c r="J77">
        <v>0.47430723905563399</v>
      </c>
      <c r="K77">
        <v>0.23381833732128099</v>
      </c>
      <c r="L77">
        <v>5.5267781019210802E-2</v>
      </c>
      <c r="M77">
        <v>1.61232566833496</v>
      </c>
      <c r="N77">
        <v>2017</v>
      </c>
    </row>
    <row r="78" spans="1:14" x14ac:dyDescent="0.3">
      <c r="A78" s="1" t="s">
        <v>81</v>
      </c>
      <c r="B78">
        <v>77</v>
      </c>
      <c r="C78" t="str">
        <f>VLOOKUP(_2017[[#This Row],[Country]],'2016'!$1:$1048576,2,FALSE)</f>
        <v>Central and Eastern Europe</v>
      </c>
      <c r="D78">
        <v>5.2930002212524396</v>
      </c>
      <c r="E78">
        <v>5.3917772045731498</v>
      </c>
      <c r="F78">
        <v>5.1942232379317304</v>
      </c>
      <c r="G78">
        <v>1.22255623340607</v>
      </c>
      <c r="H78">
        <v>0.96798300743103005</v>
      </c>
      <c r="I78">
        <v>0.701288521289825</v>
      </c>
      <c r="J78">
        <v>0.25577229261398299</v>
      </c>
      <c r="K78">
        <v>0.24800297617912301</v>
      </c>
      <c r="L78">
        <v>4.3103110045194598E-2</v>
      </c>
      <c r="M78">
        <v>1.85449242591858</v>
      </c>
      <c r="N78">
        <v>2017</v>
      </c>
    </row>
    <row r="79" spans="1:14" x14ac:dyDescent="0.3">
      <c r="A79" s="1" t="s">
        <v>88</v>
      </c>
      <c r="B79">
        <v>78</v>
      </c>
      <c r="C79" t="str">
        <f>VLOOKUP(_2017[[#This Row],[Country]],'2016'!$1:$1048576,2,FALSE)</f>
        <v>Central and Eastern Europe</v>
      </c>
      <c r="D79">
        <v>5.2789998054504403</v>
      </c>
      <c r="E79">
        <v>5.36484799548984</v>
      </c>
      <c r="F79">
        <v>5.1931516154110398</v>
      </c>
      <c r="G79">
        <v>0.95148438215255704</v>
      </c>
      <c r="H79">
        <v>1.1378535032272299</v>
      </c>
      <c r="I79">
        <v>0.54145205020904497</v>
      </c>
      <c r="J79">
        <v>0.26028794050216703</v>
      </c>
      <c r="K79">
        <v>0.31993144750595098</v>
      </c>
      <c r="L79">
        <v>5.7471618056297302E-2</v>
      </c>
      <c r="M79">
        <v>2.0105407238006601</v>
      </c>
      <c r="N79">
        <v>2017</v>
      </c>
    </row>
    <row r="80" spans="1:14" x14ac:dyDescent="0.3">
      <c r="A80" s="1" t="s">
        <v>105</v>
      </c>
      <c r="B80">
        <v>79</v>
      </c>
      <c r="C80" t="str">
        <f>VLOOKUP(_2017[[#This Row],[Country]],'2016'!$1:$1048576,2,FALSE)</f>
        <v>Eastern Asia</v>
      </c>
      <c r="D80">
        <v>5.2729997634887704</v>
      </c>
      <c r="E80">
        <v>5.3192780897766303</v>
      </c>
      <c r="F80">
        <v>5.2267214372008999</v>
      </c>
      <c r="G80">
        <v>1.08116579055786</v>
      </c>
      <c r="H80">
        <v>1.1608374118804901</v>
      </c>
      <c r="I80">
        <v>0.74141550064086903</v>
      </c>
      <c r="J80">
        <v>0.47278770804405201</v>
      </c>
      <c r="K80">
        <v>2.8806841000914601E-2</v>
      </c>
      <c r="L80">
        <v>2.2794274613261199E-2</v>
      </c>
      <c r="M80">
        <v>1.7649385929107699</v>
      </c>
      <c r="N80">
        <v>2017</v>
      </c>
    </row>
    <row r="81" spans="1:14" x14ac:dyDescent="0.3">
      <c r="A81" s="1" t="s">
        <v>102</v>
      </c>
      <c r="B81">
        <v>80</v>
      </c>
      <c r="C81" t="str">
        <f>VLOOKUP(_2017[[#This Row],[Country]],'2016'!$1:$1048576,2,FALSE)</f>
        <v>Southern Asia</v>
      </c>
      <c r="D81">
        <v>5.2690000534057599</v>
      </c>
      <c r="E81">
        <v>5.3599836413562301</v>
      </c>
      <c r="F81">
        <v>5.1780164654552898</v>
      </c>
      <c r="G81">
        <v>0.72688353061676003</v>
      </c>
      <c r="H81">
        <v>0.672690689563751</v>
      </c>
      <c r="I81">
        <v>0.40204778313636802</v>
      </c>
      <c r="J81">
        <v>0.23521526157855999</v>
      </c>
      <c r="K81">
        <v>0.31544601917266801</v>
      </c>
      <c r="L81">
        <v>0.124348066747189</v>
      </c>
      <c r="M81">
        <v>2.7924892902374299</v>
      </c>
      <c r="N81">
        <v>2017</v>
      </c>
    </row>
    <row r="82" spans="1:14" x14ac:dyDescent="0.3">
      <c r="A82" s="1" t="s">
        <v>94</v>
      </c>
      <c r="B82">
        <v>81</v>
      </c>
      <c r="C82" t="str">
        <f>VLOOKUP(_2017[[#This Row],[Country]],'2016'!$1:$1048576,2,FALSE)</f>
        <v>Southeastern Asia</v>
      </c>
      <c r="D82">
        <v>5.2620000839233398</v>
      </c>
      <c r="E82">
        <v>5.3528885981440499</v>
      </c>
      <c r="F82">
        <v>5.1711115697026298</v>
      </c>
      <c r="G82">
        <v>0.99553859233856201</v>
      </c>
      <c r="H82">
        <v>1.2744446992874101</v>
      </c>
      <c r="I82">
        <v>0.492345720529556</v>
      </c>
      <c r="J82">
        <v>0.44332346320152299</v>
      </c>
      <c r="K82">
        <v>0.61170458793640103</v>
      </c>
      <c r="L82">
        <v>1.5317135490477101E-2</v>
      </c>
      <c r="M82">
        <v>1.42947697639465</v>
      </c>
      <c r="N82">
        <v>2017</v>
      </c>
    </row>
    <row r="83" spans="1:14" x14ac:dyDescent="0.3">
      <c r="A83" s="1" t="s">
        <v>39</v>
      </c>
      <c r="B83">
        <v>82</v>
      </c>
      <c r="C83" t="str">
        <f>VLOOKUP(_2017[[#This Row],[Country]],'2016'!$1:$1048576,2,FALSE)</f>
        <v>Latin America and Caribbean</v>
      </c>
      <c r="D83">
        <v>5.25</v>
      </c>
      <c r="E83">
        <v>5.3700319455564003</v>
      </c>
      <c r="F83">
        <v>5.1299680544435997</v>
      </c>
      <c r="G83">
        <v>1.1284312009811399</v>
      </c>
      <c r="H83">
        <v>1.4313375949859599</v>
      </c>
      <c r="I83">
        <v>0.61714422702789296</v>
      </c>
      <c r="J83">
        <v>0.153997123241425</v>
      </c>
      <c r="K83">
        <v>6.5019629895687103E-2</v>
      </c>
      <c r="L83">
        <v>6.4491122961044298E-2</v>
      </c>
      <c r="M83">
        <v>1.7894637584686299</v>
      </c>
      <c r="N83">
        <v>2017</v>
      </c>
    </row>
    <row r="84" spans="1:14" x14ac:dyDescent="0.3">
      <c r="A84" s="1" t="s">
        <v>104</v>
      </c>
      <c r="B84">
        <v>83</v>
      </c>
      <c r="C84" t="str">
        <f>VLOOKUP(_2017[[#This Row],[Country]],'2016'!$1:$1048576,2,FALSE)</f>
        <v>Central and Eastern Europe</v>
      </c>
      <c r="D84">
        <v>5.23699998855591</v>
      </c>
      <c r="E84">
        <v>5.3410444405674902</v>
      </c>
      <c r="F84">
        <v>5.13295553654432</v>
      </c>
      <c r="G84">
        <v>1.1211290359497099</v>
      </c>
      <c r="H84">
        <v>1.23837649822235</v>
      </c>
      <c r="I84">
        <v>0.66746467351913497</v>
      </c>
      <c r="J84">
        <v>0.19498905539512601</v>
      </c>
      <c r="K84">
        <v>0.19791102409362801</v>
      </c>
      <c r="L84">
        <v>8.8174194097518893E-2</v>
      </c>
      <c r="M84">
        <v>1.72919154167175</v>
      </c>
      <c r="N84">
        <v>2017</v>
      </c>
    </row>
    <row r="85" spans="1:14" x14ac:dyDescent="0.3">
      <c r="A85" s="1" t="s">
        <v>113</v>
      </c>
      <c r="B85">
        <v>84</v>
      </c>
      <c r="C85" t="str">
        <f>VLOOKUP(_2017[[#This Row],[Country]],'2016'!$1:$1048576,2,FALSE)</f>
        <v>Middle East and Northern Africa</v>
      </c>
      <c r="D85">
        <v>5.2350001335143999</v>
      </c>
      <c r="E85">
        <v>5.31834096476436</v>
      </c>
      <c r="F85">
        <v>5.1516593022644503</v>
      </c>
      <c r="G85">
        <v>0.87811458110809304</v>
      </c>
      <c r="H85">
        <v>0.77486443519592296</v>
      </c>
      <c r="I85">
        <v>0.59771066904068004</v>
      </c>
      <c r="J85">
        <v>0.40815833210945102</v>
      </c>
      <c r="K85">
        <v>3.2209955155849498E-2</v>
      </c>
      <c r="L85">
        <v>8.7763182818889604E-2</v>
      </c>
      <c r="M85">
        <v>2.4561893939971902</v>
      </c>
      <c r="N85">
        <v>2017</v>
      </c>
    </row>
    <row r="86" spans="1:14" x14ac:dyDescent="0.3">
      <c r="A86" s="1" t="s">
        <v>101</v>
      </c>
      <c r="B86">
        <v>85</v>
      </c>
      <c r="C86" t="str">
        <f>VLOOKUP(_2017[[#This Row],[Country]],'2016'!$1:$1048576,2,FALSE)</f>
        <v>Central and Eastern Europe</v>
      </c>
      <c r="D86">
        <v>5.2340002059936497</v>
      </c>
      <c r="E86">
        <v>5.2992865352332599</v>
      </c>
      <c r="F86">
        <v>5.1687138767540501</v>
      </c>
      <c r="G86">
        <v>1.1536017656326301</v>
      </c>
      <c r="H86">
        <v>1.15240025520325</v>
      </c>
      <c r="I86">
        <v>0.54077577590942405</v>
      </c>
      <c r="J86">
        <v>0.398155838251114</v>
      </c>
      <c r="K86">
        <v>4.5269340276718098E-2</v>
      </c>
      <c r="L86">
        <v>0.18098750710487399</v>
      </c>
      <c r="M86">
        <v>1.7624816894531199</v>
      </c>
      <c r="N86">
        <v>2017</v>
      </c>
    </row>
    <row r="87" spans="1:14" x14ac:dyDescent="0.3">
      <c r="A87" s="1" t="s">
        <v>119</v>
      </c>
      <c r="B87">
        <v>86</v>
      </c>
      <c r="C87" t="str">
        <f>VLOOKUP(_2017[[#This Row],[Country]],'2016'!$1:$1048576,2,FALSE)</f>
        <v>Latin America and Caribbean</v>
      </c>
      <c r="D87">
        <v>5.2300000190734899</v>
      </c>
      <c r="E87">
        <v>5.3490608851611601</v>
      </c>
      <c r="F87">
        <v>5.1109391529858099</v>
      </c>
      <c r="G87">
        <v>1.07937383651733</v>
      </c>
      <c r="H87">
        <v>1.40241670608521</v>
      </c>
      <c r="I87">
        <v>0.57487374544143699</v>
      </c>
      <c r="J87">
        <v>0.55258983373642001</v>
      </c>
      <c r="K87">
        <v>0.18696784973144501</v>
      </c>
      <c r="L87">
        <v>0.113945253193378</v>
      </c>
      <c r="M87">
        <v>1.3194651603698699</v>
      </c>
      <c r="N87">
        <v>2017</v>
      </c>
    </row>
    <row r="88" spans="1:14" x14ac:dyDescent="0.3">
      <c r="A88" s="1" t="s">
        <v>123</v>
      </c>
      <c r="B88">
        <v>87</v>
      </c>
      <c r="C88" t="str">
        <f>VLOOKUP(_2017[[#This Row],[Country]],'2016'!$1:$1048576,2,FALSE)</f>
        <v>Western Europe</v>
      </c>
      <c r="D88">
        <v>5.2270002365112296</v>
      </c>
      <c r="E88">
        <v>5.3252461694180999</v>
      </c>
      <c r="F88">
        <v>5.1287543036043601</v>
      </c>
      <c r="G88">
        <v>1.2894874811172501</v>
      </c>
      <c r="H88">
        <v>1.2394145727157599</v>
      </c>
      <c r="I88">
        <v>0.81019890308380105</v>
      </c>
      <c r="J88">
        <v>9.5731250941753401E-2</v>
      </c>
      <c r="K88">
        <v>0</v>
      </c>
      <c r="L88">
        <v>4.3289776891469997E-2</v>
      </c>
      <c r="M88">
        <v>1.7492215633392301</v>
      </c>
      <c r="N88">
        <v>2017</v>
      </c>
    </row>
    <row r="89" spans="1:14" x14ac:dyDescent="0.3">
      <c r="A89" s="1" t="s">
        <v>124</v>
      </c>
      <c r="B89">
        <v>88</v>
      </c>
      <c r="C89" t="str">
        <f>VLOOKUP(_2017[[#This Row],[Country]],'2016'!$1:$1048576,2,FALSE)</f>
        <v>Middle East and Northern Africa</v>
      </c>
      <c r="D89">
        <v>5.2249999046325701</v>
      </c>
      <c r="E89">
        <v>5.3188822884857698</v>
      </c>
      <c r="F89">
        <v>5.1311175207793704</v>
      </c>
      <c r="G89">
        <v>1.0749875307083101</v>
      </c>
      <c r="H89">
        <v>1.1296242475509599</v>
      </c>
      <c r="I89">
        <v>0.73508107662200906</v>
      </c>
      <c r="J89">
        <v>0.288515985012054</v>
      </c>
      <c r="K89">
        <v>0.26445075869560197</v>
      </c>
      <c r="L89">
        <v>3.7513829767704003E-2</v>
      </c>
      <c r="M89">
        <v>1.69507384300232</v>
      </c>
      <c r="N89">
        <v>2017</v>
      </c>
    </row>
    <row r="90" spans="1:14" x14ac:dyDescent="0.3">
      <c r="A90" s="1" t="s">
        <v>109</v>
      </c>
      <c r="B90">
        <v>89</v>
      </c>
      <c r="C90" t="str">
        <f>VLOOKUP(_2017[[#This Row],[Country]],'2016'!$1:$1048576,2,FALSE)</f>
        <v>Western Europe</v>
      </c>
      <c r="D90">
        <v>5.1950001716613796</v>
      </c>
      <c r="E90">
        <v>5.2850417330861097</v>
      </c>
      <c r="F90">
        <v>5.1049586102366504</v>
      </c>
      <c r="G90">
        <v>1.3151752948761</v>
      </c>
      <c r="H90">
        <v>1.36704301834106</v>
      </c>
      <c r="I90">
        <v>0.79584354162216198</v>
      </c>
      <c r="J90">
        <v>0.49846529960632302</v>
      </c>
      <c r="K90">
        <v>9.5102712512016296E-2</v>
      </c>
      <c r="L90">
        <v>1.5869451686739901E-2</v>
      </c>
      <c r="M90">
        <v>1.10768270492554</v>
      </c>
      <c r="N90">
        <v>2017</v>
      </c>
    </row>
    <row r="91" spans="1:14" x14ac:dyDescent="0.3">
      <c r="A91" s="1" t="s">
        <v>117</v>
      </c>
      <c r="B91">
        <v>90</v>
      </c>
      <c r="C91" t="str">
        <f>VLOOKUP(_2017[[#This Row],[Country]],'2016'!$1:$1048576,2,FALSE)</f>
        <v>Central and Eastern Europe</v>
      </c>
      <c r="D91">
        <v>5.1820001602172896</v>
      </c>
      <c r="E91">
        <v>5.27633568674326</v>
      </c>
      <c r="F91">
        <v>5.0876646336913103</v>
      </c>
      <c r="G91">
        <v>0.98240941762924205</v>
      </c>
      <c r="H91">
        <v>1.0693359375</v>
      </c>
      <c r="I91">
        <v>0.705186307430267</v>
      </c>
      <c r="J91">
        <v>0.204403176903725</v>
      </c>
      <c r="K91">
        <v>0.32886749505996699</v>
      </c>
      <c r="L91">
        <v>0</v>
      </c>
      <c r="M91">
        <v>1.89217257499695</v>
      </c>
      <c r="N91">
        <v>2017</v>
      </c>
    </row>
    <row r="92" spans="1:14" x14ac:dyDescent="0.3">
      <c r="A92" s="1" t="s">
        <v>126</v>
      </c>
      <c r="B92">
        <v>91</v>
      </c>
      <c r="C92" t="str">
        <f>VLOOKUP(_2017[[#This Row],[Country]],'2016'!$1:$1048576,2,FALSE)</f>
        <v>Latin America and Caribbean</v>
      </c>
      <c r="D92">
        <v>5.1810002326965297</v>
      </c>
      <c r="E92">
        <v>5.30158279687166</v>
      </c>
      <c r="F92">
        <v>5.0604176685214002</v>
      </c>
      <c r="G92">
        <v>0.73057311773300204</v>
      </c>
      <c r="H92">
        <v>1.1439449787139899</v>
      </c>
      <c r="I92">
        <v>0.582569479942322</v>
      </c>
      <c r="J92">
        <v>0.34807986021041898</v>
      </c>
      <c r="K92">
        <v>0.23618887364864299</v>
      </c>
      <c r="L92">
        <v>7.3345452547073406E-2</v>
      </c>
      <c r="M92">
        <v>2.0658111572265598</v>
      </c>
      <c r="N92">
        <v>2017</v>
      </c>
    </row>
    <row r="93" spans="1:14" x14ac:dyDescent="0.3">
      <c r="A93" s="1" t="s">
        <v>114</v>
      </c>
      <c r="B93">
        <v>92</v>
      </c>
      <c r="C93" t="str">
        <f>VLOOKUP(_2017[[#This Row],[Country]],'2016'!$1:$1048576,2,FALSE)</f>
        <v>Central and Eastern Europe</v>
      </c>
      <c r="D93">
        <v>5.1750001907348597</v>
      </c>
      <c r="E93">
        <v>5.27217263966799</v>
      </c>
      <c r="F93">
        <v>5.0778277418017401</v>
      </c>
      <c r="G93">
        <v>1.0645779371261599</v>
      </c>
      <c r="H93">
        <v>1.2078930139541599</v>
      </c>
      <c r="I93">
        <v>0.64494818449020397</v>
      </c>
      <c r="J93">
        <v>0.32590597867965698</v>
      </c>
      <c r="K93">
        <v>0.25376096367835999</v>
      </c>
      <c r="L93">
        <v>6.0277793556451797E-2</v>
      </c>
      <c r="M93">
        <v>1.6174693107605</v>
      </c>
      <c r="N93">
        <v>2017</v>
      </c>
    </row>
    <row r="94" spans="1:14" x14ac:dyDescent="0.3">
      <c r="A94" s="1" t="s">
        <v>184</v>
      </c>
      <c r="B94">
        <v>93</v>
      </c>
      <c r="C94" t="str">
        <f>VLOOKUP(_2017[[#This Row],[Country]],'2016'!$1:$1048576,2,FALSE)</f>
        <v>Sub-Saharan Africa</v>
      </c>
      <c r="D94">
        <v>5.15100002288818</v>
      </c>
      <c r="E94">
        <v>5.2424837099015704</v>
      </c>
      <c r="F94">
        <v>5.0595163358748003</v>
      </c>
      <c r="G94">
        <v>2.2643184289336201E-2</v>
      </c>
      <c r="H94">
        <v>0.72115135192871105</v>
      </c>
      <c r="I94">
        <v>0.113989137113094</v>
      </c>
      <c r="J94">
        <v>0.60212695598602295</v>
      </c>
      <c r="K94">
        <v>0.29163131117820701</v>
      </c>
      <c r="L94">
        <v>0.28241032361984297</v>
      </c>
      <c r="M94">
        <v>3.1174845695495601</v>
      </c>
      <c r="N94">
        <v>2017</v>
      </c>
    </row>
    <row r="95" spans="1:14" x14ac:dyDescent="0.3">
      <c r="A95" s="1" t="s">
        <v>95</v>
      </c>
      <c r="B95">
        <v>94</v>
      </c>
      <c r="C95" t="str">
        <f>VLOOKUP(_2017[[#This Row],[Country]],'2016'!$1:$1048576,2,FALSE)</f>
        <v>Southeastern Asia</v>
      </c>
      <c r="D95">
        <v>5.0739998817443803</v>
      </c>
      <c r="E95">
        <v>5.1472807645797696</v>
      </c>
      <c r="F95">
        <v>5.000718998909</v>
      </c>
      <c r="G95">
        <v>0.78854757547378496</v>
      </c>
      <c r="H95">
        <v>1.2774913311004601</v>
      </c>
      <c r="I95">
        <v>0.652168989181519</v>
      </c>
      <c r="J95">
        <v>0.57105559110641502</v>
      </c>
      <c r="K95">
        <v>0.234968051314354</v>
      </c>
      <c r="L95">
        <v>8.7633237242698697E-2</v>
      </c>
      <c r="M95">
        <v>1.46231865882874</v>
      </c>
      <c r="N95">
        <v>2017</v>
      </c>
    </row>
    <row r="96" spans="1:14" x14ac:dyDescent="0.3">
      <c r="A96" s="1" t="s">
        <v>98</v>
      </c>
      <c r="B96">
        <v>95</v>
      </c>
      <c r="C96" t="str">
        <f>VLOOKUP(_2017[[#This Row],[Country]],'2016'!$1:$1048576,2,FALSE)</f>
        <v>Sub-Saharan Africa</v>
      </c>
      <c r="D96">
        <v>5.0739998817443803</v>
      </c>
      <c r="E96">
        <v>5.2095001354813597</v>
      </c>
      <c r="F96">
        <v>4.9384996280074098</v>
      </c>
      <c r="G96">
        <v>0.78375625610351596</v>
      </c>
      <c r="H96">
        <v>1.21577048301697</v>
      </c>
      <c r="I96">
        <v>5.6915730237960802E-2</v>
      </c>
      <c r="J96">
        <v>0.39495256543159502</v>
      </c>
      <c r="K96">
        <v>0.23094719648361201</v>
      </c>
      <c r="L96">
        <v>2.61215660721064E-2</v>
      </c>
      <c r="M96">
        <v>2.3653905391693102</v>
      </c>
      <c r="N96">
        <v>2017</v>
      </c>
    </row>
    <row r="97" spans="1:14" x14ac:dyDescent="0.3">
      <c r="A97" s="1" t="s">
        <v>127</v>
      </c>
      <c r="B97">
        <v>96</v>
      </c>
      <c r="C97" t="str">
        <f>VLOOKUP(_2017[[#This Row],[Country]],'2016'!$1:$1048576,2,FALSE)</f>
        <v>Central and Eastern Europe</v>
      </c>
      <c r="D97">
        <v>5.0409998893737802</v>
      </c>
      <c r="E97">
        <v>5.1114255958795596</v>
      </c>
      <c r="F97">
        <v>4.9705741828679999</v>
      </c>
      <c r="G97">
        <v>0.524713635444641</v>
      </c>
      <c r="H97">
        <v>1.27146327495575</v>
      </c>
      <c r="I97">
        <v>0.52923512458801303</v>
      </c>
      <c r="J97">
        <v>0.47156670689582803</v>
      </c>
      <c r="K97">
        <v>0.24899764358997301</v>
      </c>
      <c r="L97">
        <v>0.14637714624404899</v>
      </c>
      <c r="M97">
        <v>1.84904932975769</v>
      </c>
      <c r="N97">
        <v>2017</v>
      </c>
    </row>
    <row r="98" spans="1:14" x14ac:dyDescent="0.3">
      <c r="A98" s="1" t="s">
        <v>99</v>
      </c>
      <c r="B98">
        <v>97</v>
      </c>
      <c r="C98" t="str">
        <f>VLOOKUP(_2017[[#This Row],[Country]],'2016'!$1:$1048576,2,FALSE)</f>
        <v>Southern Asia</v>
      </c>
      <c r="D98">
        <v>5.0110001564025897</v>
      </c>
      <c r="E98">
        <v>5.0793345621228196</v>
      </c>
      <c r="F98">
        <v>4.9426657506823499</v>
      </c>
      <c r="G98">
        <v>0.88541638851165805</v>
      </c>
      <c r="H98">
        <v>1.34012651443481</v>
      </c>
      <c r="I98">
        <v>0.49587929248809798</v>
      </c>
      <c r="J98">
        <v>0.50153768062591597</v>
      </c>
      <c r="K98">
        <v>0.474054545164108</v>
      </c>
      <c r="L98">
        <v>0.17338038980960799</v>
      </c>
      <c r="M98">
        <v>1.1401844024658201</v>
      </c>
      <c r="N98">
        <v>2017</v>
      </c>
    </row>
    <row r="99" spans="1:14" x14ac:dyDescent="0.3">
      <c r="A99" s="1" t="s">
        <v>97</v>
      </c>
      <c r="B99">
        <v>98</v>
      </c>
      <c r="C99" t="str">
        <f>VLOOKUP(_2017[[#This Row],[Country]],'2016'!$1:$1048576,2,FALSE)</f>
        <v>Central and Eastern Europe</v>
      </c>
      <c r="D99">
        <v>5.0040001869201696</v>
      </c>
      <c r="E99">
        <v>5.0899199031293403</v>
      </c>
      <c r="F99">
        <v>4.91808047071099</v>
      </c>
      <c r="G99">
        <v>0.59622007608413696</v>
      </c>
      <c r="H99">
        <v>1.3942385911941499</v>
      </c>
      <c r="I99">
        <v>0.55345779657363903</v>
      </c>
      <c r="J99">
        <v>0.45494338870048501</v>
      </c>
      <c r="K99">
        <v>0.42858037352562001</v>
      </c>
      <c r="L99">
        <v>3.9439179003238699E-2</v>
      </c>
      <c r="M99">
        <v>1.5367231369018599</v>
      </c>
      <c r="N99">
        <v>2017</v>
      </c>
    </row>
    <row r="100" spans="1:14" x14ac:dyDescent="0.3">
      <c r="A100" s="1" t="s">
        <v>142</v>
      </c>
      <c r="B100">
        <v>99</v>
      </c>
      <c r="C100" t="str">
        <f>VLOOKUP(_2017[[#This Row],[Country]],'2016'!$1:$1048576,2,FALSE)</f>
        <v>Southern Asia</v>
      </c>
      <c r="D100">
        <v>4.9619998931884801</v>
      </c>
      <c r="E100">
        <v>5.0673560793697803</v>
      </c>
      <c r="F100">
        <v>4.8566437070071702</v>
      </c>
      <c r="G100">
        <v>0.47982019186019897</v>
      </c>
      <c r="H100">
        <v>1.17928326129913</v>
      </c>
      <c r="I100">
        <v>0.50413078069686901</v>
      </c>
      <c r="J100">
        <v>0.44030594825744601</v>
      </c>
      <c r="K100">
        <v>0.39409616589546198</v>
      </c>
      <c r="L100">
        <v>7.2975546121597304E-2</v>
      </c>
      <c r="M100">
        <v>1.8912410736084</v>
      </c>
      <c r="N100">
        <v>2017</v>
      </c>
    </row>
    <row r="101" spans="1:14" x14ac:dyDescent="0.3">
      <c r="A101" s="1" t="s">
        <v>121</v>
      </c>
      <c r="B101">
        <v>100</v>
      </c>
      <c r="C101" t="str">
        <f>VLOOKUP(_2017[[#This Row],[Country]],'2016'!$1:$1048576,2,FALSE)</f>
        <v>Eastern Asia</v>
      </c>
      <c r="D101">
        <v>4.9549999237060502</v>
      </c>
      <c r="E101">
        <v>5.0216795091330999</v>
      </c>
      <c r="F101">
        <v>4.8883203382790104</v>
      </c>
      <c r="G101">
        <v>1.0272358655929601</v>
      </c>
      <c r="H101">
        <v>1.4930112361907999</v>
      </c>
      <c r="I101">
        <v>0.55778348445892301</v>
      </c>
      <c r="J101">
        <v>0.39414396882057201</v>
      </c>
      <c r="K101">
        <v>0.33846423029899603</v>
      </c>
      <c r="L101">
        <v>3.2902289181947701E-2</v>
      </c>
      <c r="M101">
        <v>1.1112923622131301</v>
      </c>
      <c r="N101">
        <v>2017</v>
      </c>
    </row>
    <row r="102" spans="1:14" x14ac:dyDescent="0.3">
      <c r="A102" s="1" t="s">
        <v>134</v>
      </c>
      <c r="B102">
        <v>101</v>
      </c>
      <c r="C102" t="str">
        <f>VLOOKUP(_2017[[#This Row],[Country]],'2016'!$1:$1048576,2,FALSE)</f>
        <v>Sub-Saharan Africa</v>
      </c>
      <c r="D102">
        <v>4.8289999961853001</v>
      </c>
      <c r="E102">
        <v>4.9294351877272096</v>
      </c>
      <c r="F102">
        <v>4.7285648046433897</v>
      </c>
      <c r="G102">
        <v>1.05469870567322</v>
      </c>
      <c r="H102">
        <v>1.38478863239288</v>
      </c>
      <c r="I102">
        <v>0.18708007037639601</v>
      </c>
      <c r="J102">
        <v>0.479246735572815</v>
      </c>
      <c r="K102">
        <v>0.13936237990856201</v>
      </c>
      <c r="L102">
        <v>7.2509497404098497E-2</v>
      </c>
      <c r="M102">
        <v>1.51090860366821</v>
      </c>
      <c r="N102">
        <v>2017</v>
      </c>
    </row>
    <row r="103" spans="1:14" x14ac:dyDescent="0.3">
      <c r="A103" s="1" t="s">
        <v>128</v>
      </c>
      <c r="B103">
        <v>102</v>
      </c>
      <c r="C103" t="str">
        <f>VLOOKUP(_2017[[#This Row],[Country]],'2016'!$1:$1048576,2,FALSE)</f>
        <v>Middle East and Northern Africa</v>
      </c>
      <c r="D103">
        <v>4.8049998283386204</v>
      </c>
      <c r="E103">
        <v>4.8843670070171399</v>
      </c>
      <c r="F103">
        <v>4.7256326496601098</v>
      </c>
      <c r="G103">
        <v>1.0072658061981199</v>
      </c>
      <c r="H103">
        <v>0.86835145950317405</v>
      </c>
      <c r="I103">
        <v>0.61321204900741599</v>
      </c>
      <c r="J103">
        <v>0.28968068957328802</v>
      </c>
      <c r="K103">
        <v>4.96933571994305E-2</v>
      </c>
      <c r="L103">
        <v>8.6723148822784396E-2</v>
      </c>
      <c r="M103">
        <v>1.8902511596679701</v>
      </c>
      <c r="N103">
        <v>2017</v>
      </c>
    </row>
    <row r="104" spans="1:14" x14ac:dyDescent="0.3">
      <c r="A104" s="1" t="s">
        <v>129</v>
      </c>
      <c r="B104">
        <v>103</v>
      </c>
      <c r="C104" t="str">
        <f>VLOOKUP(_2017[[#This Row],[Country]],'2016'!$1:$1048576,2,FALSE)</f>
        <v>Middle East and Northern Africa</v>
      </c>
      <c r="D104">
        <v>4.7750000953674299</v>
      </c>
      <c r="E104">
        <v>4.8818483425676797</v>
      </c>
      <c r="F104">
        <v>4.66815184816718</v>
      </c>
      <c r="G104">
        <v>0.71624922752380404</v>
      </c>
      <c r="H104">
        <v>1.1556471586227399</v>
      </c>
      <c r="I104">
        <v>0.56566697359085105</v>
      </c>
      <c r="J104">
        <v>0.25471106171607999</v>
      </c>
      <c r="K104">
        <v>0.114173173904419</v>
      </c>
      <c r="L104">
        <v>8.9282602071762099E-2</v>
      </c>
      <c r="M104">
        <v>1.8788902759552</v>
      </c>
      <c r="N104">
        <v>2017</v>
      </c>
    </row>
    <row r="105" spans="1:14" x14ac:dyDescent="0.3">
      <c r="A105" s="1" t="s">
        <v>156</v>
      </c>
      <c r="B105">
        <v>104</v>
      </c>
      <c r="C105" t="str">
        <f>VLOOKUP(_2017[[#This Row],[Country]],'2016'!$1:$1048576,2,FALSE)</f>
        <v>Middle East and Northern Africa</v>
      </c>
      <c r="D105">
        <v>4.7350001335143999</v>
      </c>
      <c r="E105">
        <v>4.8251337896287403</v>
      </c>
      <c r="F105">
        <v>4.6448664774000603</v>
      </c>
      <c r="G105">
        <v>0.989701807498932</v>
      </c>
      <c r="H105">
        <v>0.99747139215469405</v>
      </c>
      <c r="I105">
        <v>0.52018725872039795</v>
      </c>
      <c r="J105">
        <v>0.282110154628754</v>
      </c>
      <c r="K105">
        <v>0.12863144278526301</v>
      </c>
      <c r="L105">
        <v>0.114381365478039</v>
      </c>
      <c r="M105">
        <v>1.7021610736846899</v>
      </c>
      <c r="N105">
        <v>2017</v>
      </c>
    </row>
    <row r="106" spans="1:14" x14ac:dyDescent="0.3">
      <c r="A106" s="1" t="s">
        <v>155</v>
      </c>
      <c r="B106">
        <v>105</v>
      </c>
      <c r="C106" t="str">
        <f>VLOOKUP(_2017[[#This Row],[Country]],'2016'!$1:$1048576,2,FALSE)</f>
        <v>Central and Eastern Europe</v>
      </c>
      <c r="D106">
        <v>4.7140002250671396</v>
      </c>
      <c r="E106">
        <v>4.8036947064101696</v>
      </c>
      <c r="F106">
        <v>4.6243057437241104</v>
      </c>
      <c r="G106">
        <v>1.1614590883255</v>
      </c>
      <c r="H106">
        <v>1.4343794584274301</v>
      </c>
      <c r="I106">
        <v>0.70821768045425404</v>
      </c>
      <c r="J106">
        <v>0.289231717586517</v>
      </c>
      <c r="K106">
        <v>0.11317769438028299</v>
      </c>
      <c r="L106">
        <v>1.1051530949771401E-2</v>
      </c>
      <c r="M106">
        <v>0.99613928794860795</v>
      </c>
      <c r="N106">
        <v>2017</v>
      </c>
    </row>
    <row r="107" spans="1:14" x14ac:dyDescent="0.3">
      <c r="A107" s="1" t="s">
        <v>144</v>
      </c>
      <c r="B107">
        <v>106</v>
      </c>
      <c r="C107" t="str">
        <f>VLOOKUP(_2017[[#This Row],[Country]],'2016'!$1:$1048576,2,FALSE)</f>
        <v>Sub-Saharan Africa</v>
      </c>
      <c r="D107">
        <v>4.7090001106262198</v>
      </c>
      <c r="E107">
        <v>4.8506433349847802</v>
      </c>
      <c r="F107">
        <v>4.5673568862676603</v>
      </c>
      <c r="G107">
        <v>0.36842092871665999</v>
      </c>
      <c r="H107">
        <v>0.98413604497909501</v>
      </c>
      <c r="I107">
        <v>5.5647538974881198E-3</v>
      </c>
      <c r="J107">
        <v>0.31869769096374501</v>
      </c>
      <c r="K107">
        <v>0.293040901422501</v>
      </c>
      <c r="L107">
        <v>7.1095176041126307E-2</v>
      </c>
      <c r="M107">
        <v>2.6684598922729501</v>
      </c>
      <c r="N107">
        <v>2017</v>
      </c>
    </row>
    <row r="108" spans="1:14" x14ac:dyDescent="0.3">
      <c r="A108" s="1" t="s">
        <v>154</v>
      </c>
      <c r="B108">
        <v>107</v>
      </c>
      <c r="C108" t="str">
        <f>VLOOKUP(_2017[[#This Row],[Country]],'2016'!$1:$1048576,2,FALSE)</f>
        <v>Sub-Saharan Africa</v>
      </c>
      <c r="D108">
        <v>4.6950001716613796</v>
      </c>
      <c r="E108">
        <v>4.7965408572554598</v>
      </c>
      <c r="F108">
        <v>4.5934594860673004</v>
      </c>
      <c r="G108">
        <v>0.56430536508560203</v>
      </c>
      <c r="H108">
        <v>0.94601821899414096</v>
      </c>
      <c r="I108">
        <v>0.13289211690425901</v>
      </c>
      <c r="J108">
        <v>0.43038874864578203</v>
      </c>
      <c r="K108">
        <v>0.23629845678806299</v>
      </c>
      <c r="L108">
        <v>5.1306631416082403E-2</v>
      </c>
      <c r="M108">
        <v>2.3336455821990998</v>
      </c>
      <c r="N108">
        <v>2017</v>
      </c>
    </row>
    <row r="109" spans="1:14" x14ac:dyDescent="0.3">
      <c r="A109" s="1" t="s">
        <v>131</v>
      </c>
      <c r="B109">
        <v>108</v>
      </c>
      <c r="C109" t="str">
        <f>VLOOKUP(_2017[[#This Row],[Country]],'2016'!$1:$1048576,2,FALSE)</f>
        <v>Middle East and Northern Africa</v>
      </c>
      <c r="D109">
        <v>4.6919999122619602</v>
      </c>
      <c r="E109">
        <v>4.7982247076928601</v>
      </c>
      <c r="F109">
        <v>4.5857751168310603</v>
      </c>
      <c r="G109">
        <v>1.1568731069564799</v>
      </c>
      <c r="H109">
        <v>0.71155124902725198</v>
      </c>
      <c r="I109">
        <v>0.63933318853378296</v>
      </c>
      <c r="J109">
        <v>0.24932260811328899</v>
      </c>
      <c r="K109">
        <v>0.38724291324615501</v>
      </c>
      <c r="L109">
        <v>4.8761073499917998E-2</v>
      </c>
      <c r="M109">
        <v>1.49873495101929</v>
      </c>
      <c r="N109">
        <v>2017</v>
      </c>
    </row>
    <row r="110" spans="1:14" x14ac:dyDescent="0.3">
      <c r="A110" s="1" t="s">
        <v>116</v>
      </c>
      <c r="B110">
        <v>109</v>
      </c>
      <c r="C110" t="str">
        <f>VLOOKUP(_2017[[#This Row],[Country]],'2016'!$1:$1048576,2,FALSE)</f>
        <v>Central and Eastern Europe</v>
      </c>
      <c r="D110">
        <v>4.6440000534057599</v>
      </c>
      <c r="E110">
        <v>4.7524640063941499</v>
      </c>
      <c r="F110">
        <v>4.5355361004173798</v>
      </c>
      <c r="G110">
        <v>0.99619275331497203</v>
      </c>
      <c r="H110">
        <v>0.80368524789810203</v>
      </c>
      <c r="I110">
        <v>0.73115974664688099</v>
      </c>
      <c r="J110">
        <v>0.38149863481521601</v>
      </c>
      <c r="K110">
        <v>0.20131294429302199</v>
      </c>
      <c r="L110">
        <v>3.9864215999841697E-2</v>
      </c>
      <c r="M110">
        <v>1.4904415607452399</v>
      </c>
      <c r="N110">
        <v>2017</v>
      </c>
    </row>
    <row r="111" spans="1:14" x14ac:dyDescent="0.3">
      <c r="A111" s="1" t="s">
        <v>130</v>
      </c>
      <c r="B111">
        <v>110</v>
      </c>
      <c r="C111" t="str">
        <f>VLOOKUP(_2017[[#This Row],[Country]],'2016'!$1:$1048576,2,FALSE)</f>
        <v>Southern Asia</v>
      </c>
      <c r="D111">
        <v>4.6079998016357404</v>
      </c>
      <c r="E111">
        <v>4.6898216582834698</v>
      </c>
      <c r="F111">
        <v>4.5261779449880102</v>
      </c>
      <c r="G111">
        <v>0.58668297529220603</v>
      </c>
      <c r="H111">
        <v>0.73513174057006803</v>
      </c>
      <c r="I111">
        <v>0.53324103355407704</v>
      </c>
      <c r="J111">
        <v>0.47835665941238398</v>
      </c>
      <c r="K111">
        <v>0.17225535213947299</v>
      </c>
      <c r="L111">
        <v>0.123717859387398</v>
      </c>
      <c r="M111">
        <v>1.9787361621856701</v>
      </c>
      <c r="N111">
        <v>2017</v>
      </c>
    </row>
    <row r="112" spans="1:14" x14ac:dyDescent="0.3">
      <c r="A112" s="1" t="s">
        <v>186</v>
      </c>
      <c r="B112">
        <v>111</v>
      </c>
      <c r="C112" t="str">
        <f>VLOOKUP(_2017[[#This Row],[Country]],'2016'!$1:$1048576,2,FALSE)</f>
        <v>Sub-Saharan Africa</v>
      </c>
      <c r="D112">
        <v>4.5739998817443803</v>
      </c>
      <c r="E112">
        <v>4.7703547409176803</v>
      </c>
      <c r="F112">
        <v>4.3776450225710901</v>
      </c>
      <c r="G112">
        <v>0.96443432569503795</v>
      </c>
      <c r="H112">
        <v>1.0984708070755</v>
      </c>
      <c r="I112">
        <v>0.33861181139946001</v>
      </c>
      <c r="J112">
        <v>0.52030354738235496</v>
      </c>
      <c r="K112">
        <v>7.7133744955062894E-2</v>
      </c>
      <c r="L112">
        <v>9.3146972358226804E-2</v>
      </c>
      <c r="M112">
        <v>1.4818902015686</v>
      </c>
      <c r="N112">
        <v>2017</v>
      </c>
    </row>
    <row r="113" spans="1:14" x14ac:dyDescent="0.3">
      <c r="A113" s="1" t="s">
        <v>146</v>
      </c>
      <c r="B113">
        <v>112</v>
      </c>
      <c r="C113" t="str">
        <f>VLOOKUP(_2017[[#This Row],[Country]],'2016'!$1:$1048576,2,FALSE)</f>
        <v>Sub-Saharan Africa</v>
      </c>
      <c r="D113">
        <v>4.55299997329712</v>
      </c>
      <c r="E113">
        <v>4.6556915906071703</v>
      </c>
      <c r="F113">
        <v>4.4503083559870698</v>
      </c>
      <c r="G113">
        <v>0.56047946214675903</v>
      </c>
      <c r="H113">
        <v>1.0679507255554199</v>
      </c>
      <c r="I113">
        <v>0.30998834967613198</v>
      </c>
      <c r="J113">
        <v>0.45276376605033902</v>
      </c>
      <c r="K113">
        <v>0.444860309362411</v>
      </c>
      <c r="L113">
        <v>6.4641319215297699E-2</v>
      </c>
      <c r="M113">
        <v>1.6519021987914999</v>
      </c>
      <c r="N113">
        <v>2017</v>
      </c>
    </row>
    <row r="114" spans="1:14" x14ac:dyDescent="0.3">
      <c r="A114" s="1" t="s">
        <v>115</v>
      </c>
      <c r="B114">
        <v>113</v>
      </c>
      <c r="C114" t="s">
        <v>91</v>
      </c>
      <c r="D114">
        <v>4.5500001907348597</v>
      </c>
      <c r="E114">
        <v>4.7741023263335203</v>
      </c>
      <c r="F114">
        <v>4.3258980551362001</v>
      </c>
      <c r="G114">
        <v>0.234305649995804</v>
      </c>
      <c r="H114">
        <v>0.87070101499557495</v>
      </c>
      <c r="I114">
        <v>0.106654435396194</v>
      </c>
      <c r="J114">
        <v>0.48079109191894498</v>
      </c>
      <c r="K114">
        <v>0.322228103876114</v>
      </c>
      <c r="L114">
        <v>0.179436385631561</v>
      </c>
      <c r="M114">
        <v>2.35565090179443</v>
      </c>
      <c r="N114">
        <v>2017</v>
      </c>
    </row>
    <row r="115" spans="1:14" x14ac:dyDescent="0.3">
      <c r="A115" s="1" t="s">
        <v>150</v>
      </c>
      <c r="B115">
        <v>114</v>
      </c>
      <c r="C115" t="str">
        <f>VLOOKUP(_2017[[#This Row],[Country]],'2016'!$1:$1048576,2,FALSE)</f>
        <v>Southeastern Asia</v>
      </c>
      <c r="D115">
        <v>4.5450000762939498</v>
      </c>
      <c r="E115">
        <v>4.6147399464249599</v>
      </c>
      <c r="F115">
        <v>4.4752602061629299</v>
      </c>
      <c r="G115">
        <v>0.36711055040359503</v>
      </c>
      <c r="H115">
        <v>1.12323594093323</v>
      </c>
      <c r="I115">
        <v>0.39752256870269798</v>
      </c>
      <c r="J115">
        <v>0.51449203491210904</v>
      </c>
      <c r="K115">
        <v>0.83807516098022505</v>
      </c>
      <c r="L115">
        <v>0.18881620466709101</v>
      </c>
      <c r="M115">
        <v>1.11529040336609</v>
      </c>
      <c r="N115">
        <v>2017</v>
      </c>
    </row>
    <row r="116" spans="1:14" x14ac:dyDescent="0.3">
      <c r="A116" s="1" t="s">
        <v>163</v>
      </c>
      <c r="B116">
        <v>115</v>
      </c>
      <c r="C116" t="str">
        <f>VLOOKUP(_2017[[#This Row],[Country]],'2016'!$1:$1048576,2,FALSE)</f>
        <v>Sub-Saharan Africa</v>
      </c>
      <c r="D116">
        <v>4.5349998474121103</v>
      </c>
      <c r="E116">
        <v>4.6016037812828996</v>
      </c>
      <c r="F116">
        <v>4.46839591354132</v>
      </c>
      <c r="G116">
        <v>0.479309022426605</v>
      </c>
      <c r="H116">
        <v>1.17969191074371</v>
      </c>
      <c r="I116">
        <v>0.409362852573395</v>
      </c>
      <c r="J116">
        <v>0.37792226672172502</v>
      </c>
      <c r="K116">
        <v>0.183468893170357</v>
      </c>
      <c r="L116">
        <v>0.115460447967052</v>
      </c>
      <c r="M116">
        <v>1.78964614868164</v>
      </c>
      <c r="N116">
        <v>2017</v>
      </c>
    </row>
    <row r="117" spans="1:14" x14ac:dyDescent="0.3">
      <c r="A117" s="1" t="s">
        <v>106</v>
      </c>
      <c r="B117">
        <v>116</v>
      </c>
      <c r="C117" t="str">
        <f>VLOOKUP(_2017[[#This Row],[Country]],'2016'!$1:$1048576,2,FALSE)</f>
        <v>Sub-Saharan Africa</v>
      </c>
      <c r="D117">
        <v>4.5139999389648402</v>
      </c>
      <c r="E117">
        <v>4.64410550147295</v>
      </c>
      <c r="F117">
        <v>4.3838943764567402</v>
      </c>
      <c r="G117">
        <v>0.63640677928924605</v>
      </c>
      <c r="H117">
        <v>1.0031872987747199</v>
      </c>
      <c r="I117">
        <v>0.25783589482307401</v>
      </c>
      <c r="J117">
        <v>0.46160349249839799</v>
      </c>
      <c r="K117">
        <v>0.24958014488220201</v>
      </c>
      <c r="L117">
        <v>7.8213550150394398E-2</v>
      </c>
      <c r="M117">
        <v>1.82670545578003</v>
      </c>
      <c r="N117">
        <v>2017</v>
      </c>
    </row>
    <row r="118" spans="1:14" x14ac:dyDescent="0.3">
      <c r="A118" s="1" t="s">
        <v>133</v>
      </c>
      <c r="B118">
        <v>117</v>
      </c>
      <c r="C118" t="str">
        <f>VLOOKUP(_2017[[#This Row],[Country]],'2016'!$1:$1048576,2,FALSE)</f>
        <v>Middle East and Northern Africa</v>
      </c>
      <c r="D118">
        <v>4.4970002174377397</v>
      </c>
      <c r="E118">
        <v>4.6225914096832303</v>
      </c>
      <c r="F118">
        <v>4.3714090251922597</v>
      </c>
      <c r="G118">
        <v>1.10271048545837</v>
      </c>
      <c r="H118">
        <v>0.97861319780349698</v>
      </c>
      <c r="I118">
        <v>0.50118046998977706</v>
      </c>
      <c r="J118">
        <v>0.28855553269386303</v>
      </c>
      <c r="K118">
        <v>0.19963726401328999</v>
      </c>
      <c r="L118">
        <v>0.10721575468778601</v>
      </c>
      <c r="M118">
        <v>1.3189072608947801</v>
      </c>
      <c r="N118">
        <v>2017</v>
      </c>
    </row>
    <row r="119" spans="1:14" x14ac:dyDescent="0.3">
      <c r="A119" s="1" t="s">
        <v>164</v>
      </c>
      <c r="B119">
        <v>118</v>
      </c>
      <c r="C119" t="str">
        <f>VLOOKUP(_2017[[#This Row],[Country]],'2016'!$1:$1048576,2,FALSE)</f>
        <v>Sub-Saharan Africa</v>
      </c>
      <c r="D119">
        <v>4.4650001525878897</v>
      </c>
      <c r="E119">
        <v>4.5573617656529004</v>
      </c>
      <c r="F119">
        <v>4.3726385395228897</v>
      </c>
      <c r="G119">
        <v>1.1982102394103999</v>
      </c>
      <c r="H119">
        <v>1.1556202173232999</v>
      </c>
      <c r="I119">
        <v>0.356578588485718</v>
      </c>
      <c r="J119">
        <v>0.31232857704162598</v>
      </c>
      <c r="K119">
        <v>4.3785378336906398E-2</v>
      </c>
      <c r="L119">
        <v>7.6046787202358204E-2</v>
      </c>
      <c r="M119">
        <v>1.3229162693023699</v>
      </c>
      <c r="N119">
        <v>2017</v>
      </c>
    </row>
    <row r="120" spans="1:14" x14ac:dyDescent="0.3">
      <c r="A120" s="1" t="s">
        <v>143</v>
      </c>
      <c r="B120">
        <v>119</v>
      </c>
      <c r="C120" t="str">
        <f>VLOOKUP(_2017[[#This Row],[Country]],'2016'!$1:$1048576,2,FALSE)</f>
        <v>Sub-Saharan Africa</v>
      </c>
      <c r="D120">
        <v>4.46000003814697</v>
      </c>
      <c r="E120">
        <v>4.5427286766469503</v>
      </c>
      <c r="F120">
        <v>4.3772713996470003</v>
      </c>
      <c r="G120">
        <v>0.33923384547233598</v>
      </c>
      <c r="H120">
        <v>0.86466920375823997</v>
      </c>
      <c r="I120">
        <v>0.35340970754623402</v>
      </c>
      <c r="J120">
        <v>0.40884274244308499</v>
      </c>
      <c r="K120">
        <v>0.31265074014663702</v>
      </c>
      <c r="L120">
        <v>0.16545571386814101</v>
      </c>
      <c r="M120">
        <v>2.0157437324523899</v>
      </c>
      <c r="N120">
        <v>2017</v>
      </c>
    </row>
    <row r="121" spans="1:14" x14ac:dyDescent="0.3">
      <c r="A121" s="1" t="s">
        <v>153</v>
      </c>
      <c r="B121">
        <v>120</v>
      </c>
      <c r="C121" t="str">
        <f>VLOOKUP(_2017[[#This Row],[Country]],'2016'!$1:$1048576,2,FALSE)</f>
        <v>Southern Asia</v>
      </c>
      <c r="D121">
        <v>4.4400000572204599</v>
      </c>
      <c r="E121">
        <v>4.5534471923112898</v>
      </c>
      <c r="F121">
        <v>4.3265529221296299</v>
      </c>
      <c r="G121">
        <v>1.0098501443862899</v>
      </c>
      <c r="H121">
        <v>1.25997638702393</v>
      </c>
      <c r="I121">
        <v>0.62513083219528198</v>
      </c>
      <c r="J121">
        <v>0.56121325492858898</v>
      </c>
      <c r="K121">
        <v>0.49086356163024902</v>
      </c>
      <c r="L121">
        <v>7.36539661884308E-2</v>
      </c>
      <c r="M121">
        <v>0.419389247894287</v>
      </c>
      <c r="N121">
        <v>2017</v>
      </c>
    </row>
    <row r="122" spans="1:14" x14ac:dyDescent="0.3">
      <c r="A122" s="1" t="s">
        <v>148</v>
      </c>
      <c r="B122">
        <v>121</v>
      </c>
      <c r="C122" t="str">
        <f>VLOOKUP(_2017[[#This Row],[Country]],'2016'!$1:$1048576,2,FALSE)</f>
        <v>Central and Eastern Europe</v>
      </c>
      <c r="D122">
        <v>4.3759999275207502</v>
      </c>
      <c r="E122">
        <v>4.46673461228609</v>
      </c>
      <c r="F122">
        <v>4.2852652427554103</v>
      </c>
      <c r="G122">
        <v>0.90059673786163297</v>
      </c>
      <c r="H122">
        <v>1.0074837207794201</v>
      </c>
      <c r="I122">
        <v>0.63752442598342896</v>
      </c>
      <c r="J122">
        <v>0.198303267359734</v>
      </c>
      <c r="K122">
        <v>8.3488091826438904E-2</v>
      </c>
      <c r="L122">
        <v>2.66744215041399E-2</v>
      </c>
      <c r="M122">
        <v>1.5214991569519001</v>
      </c>
      <c r="N122">
        <v>2017</v>
      </c>
    </row>
    <row r="123" spans="1:14" x14ac:dyDescent="0.3">
      <c r="A123" s="1" t="s">
        <v>138</v>
      </c>
      <c r="B123">
        <v>122</v>
      </c>
      <c r="C123" t="str">
        <f>VLOOKUP(_2017[[#This Row],[Country]],'2016'!$1:$1048576,2,FALSE)</f>
        <v>Southern Asia</v>
      </c>
      <c r="D123">
        <v>4.3150000572204599</v>
      </c>
      <c r="E123">
        <v>4.3715220174938398</v>
      </c>
      <c r="F123">
        <v>4.2584780969470701</v>
      </c>
      <c r="G123">
        <v>0.79222124814987205</v>
      </c>
      <c r="H123">
        <v>0.75437259674072299</v>
      </c>
      <c r="I123">
        <v>0.455427616834641</v>
      </c>
      <c r="J123">
        <v>0.46998700499534601</v>
      </c>
      <c r="K123">
        <v>0.23153848946094499</v>
      </c>
      <c r="L123">
        <v>9.22268852591515E-2</v>
      </c>
      <c r="M123">
        <v>1.5191171169280999</v>
      </c>
      <c r="N123">
        <v>2017</v>
      </c>
    </row>
    <row r="124" spans="1:14" x14ac:dyDescent="0.3">
      <c r="A124" s="1" t="s">
        <v>145</v>
      </c>
      <c r="B124">
        <v>123</v>
      </c>
      <c r="C124" t="str">
        <f>VLOOKUP(_2017[[#This Row],[Country]],'2016'!$1:$1048576,2,FALSE)</f>
        <v>Sub-Saharan Africa</v>
      </c>
      <c r="D124">
        <v>4.2919998168945304</v>
      </c>
      <c r="E124">
        <v>4.3771636162698302</v>
      </c>
      <c r="F124">
        <v>4.2068360175192403</v>
      </c>
      <c r="G124">
        <v>0.64845728874206499</v>
      </c>
      <c r="H124">
        <v>1.2720308303832999</v>
      </c>
      <c r="I124">
        <v>0.28534927964210499</v>
      </c>
      <c r="J124">
        <v>9.6098043024539906E-2</v>
      </c>
      <c r="K124">
        <v>0.20187002420425401</v>
      </c>
      <c r="L124">
        <v>0.13695700466632801</v>
      </c>
      <c r="M124">
        <v>1.6516373157501201</v>
      </c>
      <c r="N124">
        <v>2017</v>
      </c>
    </row>
    <row r="125" spans="1:14" x14ac:dyDescent="0.3">
      <c r="A125" s="1" t="s">
        <v>160</v>
      </c>
      <c r="B125">
        <v>124</v>
      </c>
      <c r="C125" t="str">
        <f>VLOOKUP(_2017[[#This Row],[Country]],'2016'!$1:$1048576,2,FALSE)</f>
        <v>Sub-Saharan Africa</v>
      </c>
      <c r="D125">
        <v>4.2909998893737802</v>
      </c>
      <c r="E125">
        <v>4.4100535050034502</v>
      </c>
      <c r="F125">
        <v>4.1719462737441102</v>
      </c>
      <c r="G125">
        <v>0.80896425247192405</v>
      </c>
      <c r="H125">
        <v>0.83204436302185103</v>
      </c>
      <c r="I125">
        <v>0.28995743393897999</v>
      </c>
      <c r="J125">
        <v>0.43502587080001798</v>
      </c>
      <c r="K125">
        <v>0.120852127671242</v>
      </c>
      <c r="L125">
        <v>7.9618133604526506E-2</v>
      </c>
      <c r="M125">
        <v>1.7241356372833301</v>
      </c>
      <c r="N125">
        <v>2017</v>
      </c>
    </row>
    <row r="126" spans="1:14" x14ac:dyDescent="0.3">
      <c r="A126" s="1" t="s">
        <v>151</v>
      </c>
      <c r="B126">
        <v>125</v>
      </c>
      <c r="C126" t="str">
        <f>VLOOKUP(_2017[[#This Row],[Country]],'2016'!$1:$1048576,2,FALSE)</f>
        <v>Central and Eastern Europe</v>
      </c>
      <c r="D126">
        <v>4.2859997749328604</v>
      </c>
      <c r="E126">
        <v>4.3749339658021897</v>
      </c>
      <c r="F126">
        <v>4.1970655840635303</v>
      </c>
      <c r="G126">
        <v>0.95061266422271695</v>
      </c>
      <c r="H126">
        <v>0.57061493396759</v>
      </c>
      <c r="I126">
        <v>0.64954698085784901</v>
      </c>
      <c r="J126">
        <v>0.30941003561019897</v>
      </c>
      <c r="K126">
        <v>5.4008815437555299E-2</v>
      </c>
      <c r="L126">
        <v>0.25166663527488697</v>
      </c>
      <c r="M126">
        <v>1.50013780593872</v>
      </c>
      <c r="N126">
        <v>2017</v>
      </c>
    </row>
    <row r="127" spans="1:14" x14ac:dyDescent="0.3">
      <c r="A127" s="1" t="s">
        <v>141</v>
      </c>
      <c r="B127">
        <v>126</v>
      </c>
      <c r="C127" t="str">
        <f>VLOOKUP(_2017[[#This Row],[Country]],'2016'!$1:$1048576,2,FALSE)</f>
        <v>Sub-Saharan Africa</v>
      </c>
      <c r="D127">
        <v>4.2800002098083496</v>
      </c>
      <c r="E127">
        <v>4.3578108327090703</v>
      </c>
      <c r="F127">
        <v>4.2021895869076298</v>
      </c>
      <c r="G127">
        <v>9.2102348804473905E-2</v>
      </c>
      <c r="H127">
        <v>1.2290234565734901</v>
      </c>
      <c r="I127">
        <v>0.191407024860382</v>
      </c>
      <c r="J127">
        <v>0.23596134781837499</v>
      </c>
      <c r="K127">
        <v>0.246455833315849</v>
      </c>
      <c r="L127">
        <v>6.02413564920425E-2</v>
      </c>
      <c r="M127">
        <v>2.2249586582183798</v>
      </c>
      <c r="N127">
        <v>2017</v>
      </c>
    </row>
    <row r="128" spans="1:14" x14ac:dyDescent="0.3">
      <c r="A128" s="1" t="s">
        <v>159</v>
      </c>
      <c r="B128">
        <v>127</v>
      </c>
      <c r="C128" t="str">
        <f>VLOOKUP(_2017[[#This Row],[Country]],'2016'!$1:$1048576,2,FALSE)</f>
        <v>Sub-Saharan Africa</v>
      </c>
      <c r="D128">
        <v>4.1900000572204599</v>
      </c>
      <c r="E128">
        <v>4.26967071101069</v>
      </c>
      <c r="F128">
        <v>4.11032940343022</v>
      </c>
      <c r="G128">
        <v>0.47618049383163502</v>
      </c>
      <c r="H128">
        <v>1.2814733982086199</v>
      </c>
      <c r="I128">
        <v>0.169365674257278</v>
      </c>
      <c r="J128">
        <v>0.30661374330520602</v>
      </c>
      <c r="K128">
        <v>0.18335419893264801</v>
      </c>
      <c r="L128">
        <v>0.10497024655342101</v>
      </c>
      <c r="M128">
        <v>1.66819095611572</v>
      </c>
      <c r="N128">
        <v>2017</v>
      </c>
    </row>
    <row r="129" spans="1:14" x14ac:dyDescent="0.3">
      <c r="A129" s="1" t="s">
        <v>172</v>
      </c>
      <c r="B129">
        <v>128</v>
      </c>
      <c r="C129" t="str">
        <f>VLOOKUP(_2017[[#This Row],[Country]],'2016'!$1:$1048576,2,FALSE)</f>
        <v>Sub-Saharan Africa</v>
      </c>
      <c r="D129">
        <v>4.1799998283386204</v>
      </c>
      <c r="E129">
        <v>4.2751825632154903</v>
      </c>
      <c r="F129">
        <v>4.0848170934617496</v>
      </c>
      <c r="G129">
        <v>0.60304892063140902</v>
      </c>
      <c r="H129">
        <v>0.90478003025054898</v>
      </c>
      <c r="I129">
        <v>4.8642169684171697E-2</v>
      </c>
      <c r="J129">
        <v>0.44770619273185702</v>
      </c>
      <c r="K129">
        <v>0.20123746991157501</v>
      </c>
      <c r="L129">
        <v>0.130061775445938</v>
      </c>
      <c r="M129">
        <v>1.84496426582336</v>
      </c>
      <c r="N129">
        <v>2017</v>
      </c>
    </row>
    <row r="130" spans="1:14" x14ac:dyDescent="0.3">
      <c r="A130" s="1" t="s">
        <v>166</v>
      </c>
      <c r="B130">
        <v>129</v>
      </c>
      <c r="C130" t="str">
        <f>VLOOKUP(_2017[[#This Row],[Country]],'2016'!$1:$1048576,2,FALSE)</f>
        <v>Southeastern Asia</v>
      </c>
      <c r="D130">
        <v>4.1680002212524396</v>
      </c>
      <c r="E130">
        <v>4.27851781353354</v>
      </c>
      <c r="F130">
        <v>4.0574826289713402</v>
      </c>
      <c r="G130">
        <v>0.601765096187592</v>
      </c>
      <c r="H130">
        <v>1.0062383413314799</v>
      </c>
      <c r="I130">
        <v>0.42978340387344399</v>
      </c>
      <c r="J130">
        <v>0.63337582349777199</v>
      </c>
      <c r="K130">
        <v>0.38592296838760398</v>
      </c>
      <c r="L130">
        <v>6.8105950951576205E-2</v>
      </c>
      <c r="M130">
        <v>1.04294109344482</v>
      </c>
      <c r="N130">
        <v>2017</v>
      </c>
    </row>
    <row r="131" spans="1:14" x14ac:dyDescent="0.3">
      <c r="A131" s="1" t="s">
        <v>139</v>
      </c>
      <c r="B131">
        <v>130</v>
      </c>
      <c r="C131" t="str">
        <f>VLOOKUP(_2017[[#This Row],[Country]],'2016'!$1:$1048576,2,FALSE)</f>
        <v>Sub-Saharan Africa</v>
      </c>
      <c r="D131">
        <v>4.1389999389648402</v>
      </c>
      <c r="E131">
        <v>4.3457471650838899</v>
      </c>
      <c r="F131">
        <v>3.9322527128457998</v>
      </c>
      <c r="G131">
        <v>0.65951669216155995</v>
      </c>
      <c r="H131">
        <v>1.2140085697174099</v>
      </c>
      <c r="I131">
        <v>0.29092082381248502</v>
      </c>
      <c r="J131">
        <v>1.49958552792668E-2</v>
      </c>
      <c r="K131">
        <v>0.182317450642586</v>
      </c>
      <c r="L131">
        <v>8.9847519993782002E-2</v>
      </c>
      <c r="M131">
        <v>1.6870658397674601</v>
      </c>
      <c r="N131">
        <v>2017</v>
      </c>
    </row>
    <row r="132" spans="1:14" x14ac:dyDescent="0.3">
      <c r="A132" s="1" t="s">
        <v>135</v>
      </c>
      <c r="B132">
        <v>131</v>
      </c>
      <c r="C132" t="str">
        <f>VLOOKUP(_2017[[#This Row],[Country]],'2016'!$1:$1048576,2,FALSE)</f>
        <v>Sub-Saharan Africa</v>
      </c>
      <c r="D132">
        <v>4.1199998855590803</v>
      </c>
      <c r="E132">
        <v>4.22270720854402</v>
      </c>
      <c r="F132">
        <v>4.0172925625741502</v>
      </c>
      <c r="G132">
        <v>0.66722482442855802</v>
      </c>
      <c r="H132">
        <v>0.87366473674774203</v>
      </c>
      <c r="I132">
        <v>0.295637726783752</v>
      </c>
      <c r="J132">
        <v>0.423026293516159</v>
      </c>
      <c r="K132">
        <v>0.25692394375801098</v>
      </c>
      <c r="L132">
        <v>2.5336369872093201E-2</v>
      </c>
      <c r="M132">
        <v>1.5778675079345701</v>
      </c>
      <c r="N132">
        <v>2017</v>
      </c>
    </row>
    <row r="133" spans="1:14" x14ac:dyDescent="0.3">
      <c r="A133" s="1" t="s">
        <v>132</v>
      </c>
      <c r="B133">
        <v>132</v>
      </c>
      <c r="C133" t="str">
        <f>VLOOKUP(_2017[[#This Row],[Country]],'2016'!$1:$1048576,2,FALSE)</f>
        <v>Central and Eastern Europe</v>
      </c>
      <c r="D133">
        <v>4.0960001945495597</v>
      </c>
      <c r="E133">
        <v>4.1854101045429699</v>
      </c>
      <c r="F133">
        <v>4.0065902845561503</v>
      </c>
      <c r="G133">
        <v>0.89465194940567005</v>
      </c>
      <c r="H133">
        <v>1.39453756809235</v>
      </c>
      <c r="I133">
        <v>0.57590395212173495</v>
      </c>
      <c r="J133">
        <v>0.122974775731564</v>
      </c>
      <c r="K133">
        <v>0.27006146311759899</v>
      </c>
      <c r="L133">
        <v>2.3029470816254598E-2</v>
      </c>
      <c r="M133">
        <v>0.81438231468200695</v>
      </c>
      <c r="N133">
        <v>2017</v>
      </c>
    </row>
    <row r="134" spans="1:14" x14ac:dyDescent="0.3">
      <c r="A134" s="1" t="s">
        <v>162</v>
      </c>
      <c r="B134">
        <v>133</v>
      </c>
      <c r="C134" t="str">
        <f>VLOOKUP(_2017[[#This Row],[Country]],'2016'!$1:$1048576,2,FALSE)</f>
        <v>Sub-Saharan Africa</v>
      </c>
      <c r="D134">
        <v>4.0809998512268102</v>
      </c>
      <c r="E134">
        <v>4.1957999670505499</v>
      </c>
      <c r="F134">
        <v>3.9661997354030598</v>
      </c>
      <c r="G134">
        <v>0.38143071532249501</v>
      </c>
      <c r="H134">
        <v>1.12982773780823</v>
      </c>
      <c r="I134">
        <v>0.217632606625557</v>
      </c>
      <c r="J134">
        <v>0.443185955286026</v>
      </c>
      <c r="K134">
        <v>0.32576605677604697</v>
      </c>
      <c r="L134">
        <v>5.7069718837738002E-2</v>
      </c>
      <c r="M134">
        <v>1.526362657547</v>
      </c>
      <c r="N134">
        <v>2017</v>
      </c>
    </row>
    <row r="135" spans="1:14" x14ac:dyDescent="0.3">
      <c r="A135" s="1" t="s">
        <v>173</v>
      </c>
      <c r="B135">
        <v>134</v>
      </c>
      <c r="C135" t="str">
        <f>VLOOKUP(_2017[[#This Row],[Country]],'2016'!$1:$1048576,2,FALSE)</f>
        <v>Sub-Saharan Africa</v>
      </c>
      <c r="D135">
        <v>4.03200006484985</v>
      </c>
      <c r="E135">
        <v>4.1240590643882804</v>
      </c>
      <c r="F135">
        <v>3.9399410653114302</v>
      </c>
      <c r="G135">
        <v>0.35022771358490001</v>
      </c>
      <c r="H135">
        <v>1.04328000545502</v>
      </c>
      <c r="I135">
        <v>0.21584425866603901</v>
      </c>
      <c r="J135">
        <v>0.32436785101890597</v>
      </c>
      <c r="K135">
        <v>0.25086468458175698</v>
      </c>
      <c r="L135">
        <v>0.120328105986118</v>
      </c>
      <c r="M135">
        <v>1.72721290588379</v>
      </c>
      <c r="N135">
        <v>2017</v>
      </c>
    </row>
    <row r="136" spans="1:14" x14ac:dyDescent="0.3">
      <c r="A136" s="1" t="s">
        <v>165</v>
      </c>
      <c r="B136">
        <v>135</v>
      </c>
      <c r="C136" t="str">
        <f>VLOOKUP(_2017[[#This Row],[Country]],'2016'!$1:$1048576,2,FALSE)</f>
        <v>Sub-Saharan Africa</v>
      </c>
      <c r="D136">
        <v>4.0279998779296902</v>
      </c>
      <c r="E136">
        <v>4.1119468197226503</v>
      </c>
      <c r="F136">
        <v>3.9440529361367198</v>
      </c>
      <c r="G136">
        <v>0.16192533075809501</v>
      </c>
      <c r="H136">
        <v>0.99302500486373901</v>
      </c>
      <c r="I136">
        <v>0.26850500702857999</v>
      </c>
      <c r="J136">
        <v>0.36365869641303999</v>
      </c>
      <c r="K136">
        <v>0.228673845529556</v>
      </c>
      <c r="L136">
        <v>0.13857294619083399</v>
      </c>
      <c r="M136">
        <v>1.87398338317871</v>
      </c>
      <c r="N136">
        <v>2017</v>
      </c>
    </row>
    <row r="137" spans="1:14" x14ac:dyDescent="0.3">
      <c r="A137" s="1" t="s">
        <v>152</v>
      </c>
      <c r="B137">
        <v>136</v>
      </c>
      <c r="C137" t="str">
        <f>VLOOKUP(_2017[[#This Row],[Country]],'2016'!$1:$1048576,2,FALSE)</f>
        <v>Sub-Saharan Africa</v>
      </c>
      <c r="D137">
        <v>3.9700000286102299</v>
      </c>
      <c r="E137">
        <v>4.0774788174033203</v>
      </c>
      <c r="F137">
        <v>3.86252123981714</v>
      </c>
      <c r="G137">
        <v>0.233442038297653</v>
      </c>
      <c r="H137">
        <v>0.51256883144378695</v>
      </c>
      <c r="I137">
        <v>0.31508958339691201</v>
      </c>
      <c r="J137">
        <v>0.46691465377807601</v>
      </c>
      <c r="K137">
        <v>0.287170469760895</v>
      </c>
      <c r="L137">
        <v>7.2711654007434803E-2</v>
      </c>
      <c r="M137">
        <v>2.08178615570068</v>
      </c>
      <c r="N137">
        <v>2017</v>
      </c>
    </row>
    <row r="138" spans="1:14" x14ac:dyDescent="0.3">
      <c r="A138" s="1" t="s">
        <v>170</v>
      </c>
      <c r="B138">
        <v>137</v>
      </c>
      <c r="C138" t="str">
        <f>VLOOKUP(_2017[[#This Row],[Country]],'2016'!$1:$1048576,2,FALSE)</f>
        <v>Sub-Saharan Africa</v>
      </c>
      <c r="D138">
        <v>3.9360001087188698</v>
      </c>
      <c r="E138">
        <v>4.0347115239500999</v>
      </c>
      <c r="F138">
        <v>3.8372886934876398</v>
      </c>
      <c r="G138">
        <v>0.43801298737525901</v>
      </c>
      <c r="H138">
        <v>0.95385587215423595</v>
      </c>
      <c r="I138">
        <v>4.1134715080261203E-2</v>
      </c>
      <c r="J138">
        <v>0.16234202682971999</v>
      </c>
      <c r="K138">
        <v>0.21611385047435799</v>
      </c>
      <c r="L138">
        <v>5.3581882268190398E-2</v>
      </c>
      <c r="M138">
        <v>2.07123804092407</v>
      </c>
      <c r="N138">
        <v>2017</v>
      </c>
    </row>
    <row r="139" spans="1:14" x14ac:dyDescent="0.3">
      <c r="A139" s="1" t="s">
        <v>136</v>
      </c>
      <c r="B139">
        <v>138</v>
      </c>
      <c r="C139" t="str">
        <f>VLOOKUP(_2017[[#This Row],[Country]],'2016'!$1:$1048576,2,FALSE)</f>
        <v>Sub-Saharan Africa</v>
      </c>
      <c r="D139">
        <v>3.875</v>
      </c>
      <c r="E139">
        <v>3.97869964271784</v>
      </c>
      <c r="F139">
        <v>3.77130035728216</v>
      </c>
      <c r="G139">
        <v>0.37584653496742199</v>
      </c>
      <c r="H139">
        <v>1.08309590816498</v>
      </c>
      <c r="I139">
        <v>0.19676375389099099</v>
      </c>
      <c r="J139">
        <v>0.336384207010269</v>
      </c>
      <c r="K139">
        <v>0.18914349377155301</v>
      </c>
      <c r="L139">
        <v>9.5375381410121904E-2</v>
      </c>
      <c r="M139">
        <v>1.5979702472686801</v>
      </c>
      <c r="N139">
        <v>2017</v>
      </c>
    </row>
    <row r="140" spans="1:14" x14ac:dyDescent="0.3">
      <c r="A140" s="1" t="s">
        <v>118</v>
      </c>
      <c r="B140">
        <v>139</v>
      </c>
      <c r="C140" t="s">
        <v>100</v>
      </c>
      <c r="D140">
        <v>3.8080000877380402</v>
      </c>
      <c r="E140">
        <v>4.0443439754843702</v>
      </c>
      <c r="F140">
        <v>3.5716561999917</v>
      </c>
      <c r="G140">
        <v>0.52102124691009499</v>
      </c>
      <c r="H140">
        <v>1.1900951862335201</v>
      </c>
      <c r="I140">
        <v>0</v>
      </c>
      <c r="J140">
        <v>0.39066129922866799</v>
      </c>
      <c r="K140">
        <v>0.15749727189540899</v>
      </c>
      <c r="L140">
        <v>0.11909464001655599</v>
      </c>
      <c r="M140">
        <v>1.4298353195190401</v>
      </c>
      <c r="N140">
        <v>2017</v>
      </c>
    </row>
    <row r="141" spans="1:14" x14ac:dyDescent="0.3">
      <c r="A141" s="1" t="s">
        <v>158</v>
      </c>
      <c r="B141">
        <v>140</v>
      </c>
      <c r="C141" t="str">
        <f>VLOOKUP(_2017[[#This Row],[Country]],'2016'!$1:$1048576,2,FALSE)</f>
        <v>Sub-Saharan Africa</v>
      </c>
      <c r="D141">
        <v>3.7950000762939502</v>
      </c>
      <c r="E141">
        <v>3.9516419354081198</v>
      </c>
      <c r="F141">
        <v>3.6383582171797801</v>
      </c>
      <c r="G141">
        <v>0.85842818021774303</v>
      </c>
      <c r="H141">
        <v>1.1044119596481301</v>
      </c>
      <c r="I141">
        <v>4.9868665635585799E-2</v>
      </c>
      <c r="J141">
        <v>0</v>
      </c>
      <c r="K141">
        <v>9.7926490008830996E-2</v>
      </c>
      <c r="L141">
        <v>6.9720335304737105E-2</v>
      </c>
      <c r="M141">
        <v>1.6144824028015099</v>
      </c>
      <c r="N141">
        <v>2017</v>
      </c>
    </row>
    <row r="142" spans="1:14" x14ac:dyDescent="0.3">
      <c r="A142" s="1" t="s">
        <v>174</v>
      </c>
      <c r="B142">
        <v>141</v>
      </c>
      <c r="C142" t="str">
        <f>VLOOKUP(_2017[[#This Row],[Country]],'2016'!$1:$1048576,2,FALSE)</f>
        <v>Southern Asia</v>
      </c>
      <c r="D142">
        <v>3.7939999103546098</v>
      </c>
      <c r="E142">
        <v>3.8736614152789102</v>
      </c>
      <c r="F142">
        <v>3.7143384054303201</v>
      </c>
      <c r="G142">
        <v>0.40147721767425498</v>
      </c>
      <c r="H142">
        <v>0.58154332637786899</v>
      </c>
      <c r="I142">
        <v>0.18074677884578699</v>
      </c>
      <c r="J142">
        <v>0.10617952048778501</v>
      </c>
      <c r="K142">
        <v>0.31187093257904103</v>
      </c>
      <c r="L142">
        <v>6.1157830059528399E-2</v>
      </c>
      <c r="M142">
        <v>2.1508011817932098</v>
      </c>
      <c r="N142">
        <v>2017</v>
      </c>
    </row>
    <row r="143" spans="1:14" x14ac:dyDescent="0.3">
      <c r="A143" s="1" t="s">
        <v>149</v>
      </c>
      <c r="B143">
        <v>142</v>
      </c>
      <c r="C143" t="str">
        <f>VLOOKUP(_2017[[#This Row],[Country]],'2016'!$1:$1048576,2,FALSE)</f>
        <v>Sub-Saharan Africa</v>
      </c>
      <c r="D143">
        <v>3.7660000324249299</v>
      </c>
      <c r="E143">
        <v>3.8741226662695398</v>
      </c>
      <c r="F143">
        <v>3.6578773985803101</v>
      </c>
      <c r="G143">
        <v>1.1220941543579099</v>
      </c>
      <c r="H143">
        <v>1.2215549945831301</v>
      </c>
      <c r="I143">
        <v>0.34175550937652599</v>
      </c>
      <c r="J143">
        <v>0.505196332931519</v>
      </c>
      <c r="K143">
        <v>9.9348448216915103E-2</v>
      </c>
      <c r="L143">
        <v>9.8583199083805098E-2</v>
      </c>
      <c r="M143">
        <v>0.37791371345519997</v>
      </c>
      <c r="N143">
        <v>2017</v>
      </c>
    </row>
    <row r="144" spans="1:14" x14ac:dyDescent="0.3">
      <c r="A144" s="1" t="s">
        <v>176</v>
      </c>
      <c r="B144">
        <v>143</v>
      </c>
      <c r="C144" t="str">
        <f>VLOOKUP(_2017[[#This Row],[Country]],'2016'!$1:$1048576,2,FALSE)</f>
        <v>Sub-Saharan Africa</v>
      </c>
      <c r="D144">
        <v>3.65700006484985</v>
      </c>
      <c r="E144">
        <v>3.7457835513353301</v>
      </c>
      <c r="F144">
        <v>3.5682165783643698</v>
      </c>
      <c r="G144">
        <v>0.43108540773391701</v>
      </c>
      <c r="H144">
        <v>0.435299843549728</v>
      </c>
      <c r="I144">
        <v>0.20993021130561801</v>
      </c>
      <c r="J144">
        <v>0.42596277594566301</v>
      </c>
      <c r="K144">
        <v>0.20794846117496499</v>
      </c>
      <c r="L144">
        <v>6.0929015278816202E-2</v>
      </c>
      <c r="M144">
        <v>1.88563096523285</v>
      </c>
      <c r="N144">
        <v>2017</v>
      </c>
    </row>
    <row r="145" spans="1:14" x14ac:dyDescent="0.3">
      <c r="A145" s="1" t="s">
        <v>168</v>
      </c>
      <c r="B145">
        <v>144</v>
      </c>
      <c r="C145" t="str">
        <f>VLOOKUP(_2017[[#This Row],[Country]],'2016'!$1:$1048576,2,FALSE)</f>
        <v>Sub-Saharan Africa</v>
      </c>
      <c r="D145">
        <v>3.6440000534057599</v>
      </c>
      <c r="E145">
        <v>3.7143191058933702</v>
      </c>
      <c r="F145">
        <v>3.5736810009181501</v>
      </c>
      <c r="G145">
        <v>0.30580869317054699</v>
      </c>
      <c r="H145">
        <v>0.91302037239074696</v>
      </c>
      <c r="I145">
        <v>0.375223308801651</v>
      </c>
      <c r="J145">
        <v>0.18919676542282099</v>
      </c>
      <c r="K145">
        <v>0.208732530474663</v>
      </c>
      <c r="L145">
        <v>6.7231975495815305E-2</v>
      </c>
      <c r="M145">
        <v>1.58461260795593</v>
      </c>
      <c r="N145">
        <v>2017</v>
      </c>
    </row>
    <row r="146" spans="1:14" x14ac:dyDescent="0.3">
      <c r="A146" s="1" t="s">
        <v>140</v>
      </c>
      <c r="B146">
        <v>145</v>
      </c>
      <c r="C146" t="str">
        <f>VLOOKUP(_2017[[#This Row],[Country]],'2016'!$1:$1048576,2,FALSE)</f>
        <v>Latin America and Caribbean</v>
      </c>
      <c r="D146">
        <v>3.6029999256134002</v>
      </c>
      <c r="E146">
        <v>3.7347147977352102</v>
      </c>
      <c r="F146">
        <v>3.4712850534915902</v>
      </c>
      <c r="G146">
        <v>0.36861026287078902</v>
      </c>
      <c r="H146">
        <v>0.64044982194900502</v>
      </c>
      <c r="I146">
        <v>0.27732113003730802</v>
      </c>
      <c r="J146">
        <v>3.0369857326149899E-2</v>
      </c>
      <c r="K146">
        <v>0.489203780889511</v>
      </c>
      <c r="L146">
        <v>9.9872149527072906E-2</v>
      </c>
      <c r="M146">
        <v>1.6971676349639899</v>
      </c>
      <c r="N146">
        <v>2017</v>
      </c>
    </row>
    <row r="147" spans="1:14" x14ac:dyDescent="0.3">
      <c r="A147" s="1" t="s">
        <v>157</v>
      </c>
      <c r="B147">
        <v>146</v>
      </c>
      <c r="C147" t="str">
        <f>VLOOKUP(_2017[[#This Row],[Country]],'2016'!$1:$1048576,2,FALSE)</f>
        <v>Middle East and Northern Africa</v>
      </c>
      <c r="D147">
        <v>3.59299993515015</v>
      </c>
      <c r="E147">
        <v>3.6927503198385199</v>
      </c>
      <c r="F147">
        <v>3.49324955046177</v>
      </c>
      <c r="G147">
        <v>0.59168344736099199</v>
      </c>
      <c r="H147">
        <v>0.93538224697113004</v>
      </c>
      <c r="I147">
        <v>0.310080915689468</v>
      </c>
      <c r="J147">
        <v>0.24946372210979501</v>
      </c>
      <c r="K147">
        <v>0.104125209152699</v>
      </c>
      <c r="L147">
        <v>5.67674227058887E-2</v>
      </c>
      <c r="M147">
        <v>1.3456006050109901</v>
      </c>
      <c r="N147">
        <v>2017</v>
      </c>
    </row>
    <row r="148" spans="1:14" x14ac:dyDescent="0.3">
      <c r="A148" s="1" t="s">
        <v>187</v>
      </c>
      <c r="B148">
        <v>147</v>
      </c>
      <c r="C148" t="str">
        <f>VLOOKUP(_2017[[#This Row],[Country]],'2016'!$1:$1048576,2,FALSE)</f>
        <v>Sub-Saharan Africa</v>
      </c>
      <c r="D148">
        <v>3.5910000801086399</v>
      </c>
      <c r="E148">
        <v>3.7255385857820502</v>
      </c>
      <c r="F148">
        <v>3.4564615744352301</v>
      </c>
      <c r="G148">
        <v>0.39724862575531</v>
      </c>
      <c r="H148">
        <v>0.60132312774658203</v>
      </c>
      <c r="I148">
        <v>0.16348600387573201</v>
      </c>
      <c r="J148">
        <v>0.14706243574619299</v>
      </c>
      <c r="K148">
        <v>0.285670816898346</v>
      </c>
      <c r="L148">
        <v>0.116793513298035</v>
      </c>
      <c r="M148">
        <v>1.87956738471985</v>
      </c>
      <c r="N148">
        <v>2017</v>
      </c>
    </row>
    <row r="149" spans="1:14" x14ac:dyDescent="0.3">
      <c r="A149" s="1" t="s">
        <v>137</v>
      </c>
      <c r="B149">
        <v>148</v>
      </c>
      <c r="C149" t="str">
        <f>VLOOKUP(_2017[[#This Row],[Country]],'2016'!$1:$1048576,2,FALSE)</f>
        <v>Sub-Saharan Africa</v>
      </c>
      <c r="D149">
        <v>3.5329999923706099</v>
      </c>
      <c r="E149">
        <v>3.6537562608718899</v>
      </c>
      <c r="F149">
        <v>3.4122437238693202</v>
      </c>
      <c r="G149">
        <v>0.119041793048382</v>
      </c>
      <c r="H149">
        <v>0.87211793661117598</v>
      </c>
      <c r="I149">
        <v>0.22991819679737099</v>
      </c>
      <c r="J149">
        <v>0.33288118243217502</v>
      </c>
      <c r="K149">
        <v>0.26654988527298001</v>
      </c>
      <c r="L149">
        <v>3.8948249071836499E-2</v>
      </c>
      <c r="M149">
        <v>1.6732859611511199</v>
      </c>
      <c r="N149">
        <v>2017</v>
      </c>
    </row>
    <row r="150" spans="1:14" x14ac:dyDescent="0.3">
      <c r="A150" s="1" t="s">
        <v>171</v>
      </c>
      <c r="B150">
        <v>149</v>
      </c>
      <c r="C150" t="str">
        <f>VLOOKUP(_2017[[#This Row],[Country]],'2016'!$1:$1048576,2,FALSE)</f>
        <v>Sub-Saharan Africa</v>
      </c>
      <c r="D150">
        <v>3.5069999694824201</v>
      </c>
      <c r="E150">
        <v>3.5844281288981401</v>
      </c>
      <c r="F150">
        <v>3.4295718100667001</v>
      </c>
      <c r="G150">
        <v>0.244549930095673</v>
      </c>
      <c r="H150">
        <v>0.79124468564987205</v>
      </c>
      <c r="I150">
        <v>0.194129139184952</v>
      </c>
      <c r="J150">
        <v>0.34858751296997098</v>
      </c>
      <c r="K150">
        <v>0.26481509208679199</v>
      </c>
      <c r="L150">
        <v>0.110937617719173</v>
      </c>
      <c r="M150">
        <v>1.55231189727783</v>
      </c>
      <c r="N150">
        <v>2017</v>
      </c>
    </row>
    <row r="151" spans="1:14" x14ac:dyDescent="0.3">
      <c r="A151" s="1" t="s">
        <v>179</v>
      </c>
      <c r="B151">
        <v>150</v>
      </c>
      <c r="C151" t="str">
        <f>VLOOKUP(_2017[[#This Row],[Country]],'2016'!$1:$1048576,2,FALSE)</f>
        <v>Sub-Saharan Africa</v>
      </c>
      <c r="D151">
        <v>3.4949998855590798</v>
      </c>
      <c r="E151">
        <v>3.5940381117165101</v>
      </c>
      <c r="F151">
        <v>3.3959616594016602</v>
      </c>
      <c r="G151">
        <v>0.30544471740722701</v>
      </c>
      <c r="H151">
        <v>0.43188253045082098</v>
      </c>
      <c r="I151">
        <v>0.247105568647385</v>
      </c>
      <c r="J151">
        <v>0.38042613863945002</v>
      </c>
      <c r="K151">
        <v>0.19689615070819899</v>
      </c>
      <c r="L151">
        <v>9.5665015280246707E-2</v>
      </c>
      <c r="M151">
        <v>1.83722925186157</v>
      </c>
      <c r="N151">
        <v>2017</v>
      </c>
    </row>
    <row r="152" spans="1:14" x14ac:dyDescent="0.3">
      <c r="A152" s="1" t="s">
        <v>175</v>
      </c>
      <c r="B152">
        <v>151</v>
      </c>
      <c r="C152" t="str">
        <f>VLOOKUP(_2017[[#This Row],[Country]],'2016'!$1:$1048576,2,FALSE)</f>
        <v>Sub-Saharan Africa</v>
      </c>
      <c r="D152">
        <v>3.4709999561309801</v>
      </c>
      <c r="E152">
        <v>3.5430302335321899</v>
      </c>
      <c r="F152">
        <v>3.3989696787297698</v>
      </c>
      <c r="G152">
        <v>0.36874589323997498</v>
      </c>
      <c r="H152">
        <v>0.94570702314376798</v>
      </c>
      <c r="I152">
        <v>0.32642480731010398</v>
      </c>
      <c r="J152">
        <v>0.58184385299682595</v>
      </c>
      <c r="K152">
        <v>0.25275602936744701</v>
      </c>
      <c r="L152">
        <v>0.45522001385688798</v>
      </c>
      <c r="M152">
        <v>0.540061235427856</v>
      </c>
      <c r="N152">
        <v>2017</v>
      </c>
    </row>
    <row r="153" spans="1:14" x14ac:dyDescent="0.3">
      <c r="A153" s="1" t="s">
        <v>177</v>
      </c>
      <c r="B153">
        <v>152</v>
      </c>
      <c r="C153" t="str">
        <f>VLOOKUP(_2017[[#This Row],[Country]],'2016'!$1:$1048576,2,FALSE)</f>
        <v>Middle East and Northern Africa</v>
      </c>
      <c r="D153">
        <v>3.4619998931884801</v>
      </c>
      <c r="E153">
        <v>3.66366855680943</v>
      </c>
      <c r="F153">
        <v>3.2603312295675302</v>
      </c>
      <c r="G153">
        <v>0.77715313434600797</v>
      </c>
      <c r="H153">
        <v>0.39610260725021401</v>
      </c>
      <c r="I153">
        <v>0.50053334236144997</v>
      </c>
      <c r="J153">
        <v>8.1539444625377697E-2</v>
      </c>
      <c r="K153">
        <v>0.49366372823715199</v>
      </c>
      <c r="L153">
        <v>0.151347130537033</v>
      </c>
      <c r="M153">
        <v>1.06157350540161</v>
      </c>
      <c r="N153">
        <v>2017</v>
      </c>
    </row>
    <row r="154" spans="1:14" x14ac:dyDescent="0.3">
      <c r="A154" s="1" t="s">
        <v>167</v>
      </c>
      <c r="B154">
        <v>153</v>
      </c>
      <c r="C154" t="str">
        <f>VLOOKUP(_2017[[#This Row],[Country]],'2016'!$1:$1048576,2,FALSE)</f>
        <v>Sub-Saharan Africa</v>
      </c>
      <c r="D154">
        <v>3.34899997711182</v>
      </c>
      <c r="E154">
        <v>3.4614297553896902</v>
      </c>
      <c r="F154">
        <v>3.2365701988339399</v>
      </c>
      <c r="G154">
        <v>0.51113587617874101</v>
      </c>
      <c r="H154">
        <v>1.0419898033142101</v>
      </c>
      <c r="I154">
        <v>0.36450928449630698</v>
      </c>
      <c r="J154">
        <v>0.39001777768135099</v>
      </c>
      <c r="K154">
        <v>0.354256361722946</v>
      </c>
      <c r="L154">
        <v>6.6035106778144795E-2</v>
      </c>
      <c r="M154">
        <v>0.62113046646118197</v>
      </c>
      <c r="N154">
        <v>2017</v>
      </c>
    </row>
    <row r="155" spans="1:14" x14ac:dyDescent="0.3">
      <c r="A155" s="1" t="s">
        <v>178</v>
      </c>
      <c r="B155">
        <v>154</v>
      </c>
      <c r="C155" t="str">
        <f>VLOOKUP(_2017[[#This Row],[Country]],'2016'!$1:$1048576,2,FALSE)</f>
        <v>Sub-Saharan Africa</v>
      </c>
      <c r="D155">
        <v>2.9049999713897701</v>
      </c>
      <c r="E155">
        <v>3.0746903330087698</v>
      </c>
      <c r="F155">
        <v>2.7353096097707699</v>
      </c>
      <c r="G155">
        <v>9.1622568666934995E-2</v>
      </c>
      <c r="H155">
        <v>0.62979358434677102</v>
      </c>
      <c r="I155">
        <v>0.15161079168319699</v>
      </c>
      <c r="J155">
        <v>5.9900753200054203E-2</v>
      </c>
      <c r="K155">
        <v>0.204435184597969</v>
      </c>
      <c r="L155">
        <v>8.4147945046424893E-2</v>
      </c>
      <c r="M155">
        <v>1.6830241680145299</v>
      </c>
      <c r="N155">
        <v>2017</v>
      </c>
    </row>
    <row r="156" spans="1:14" x14ac:dyDescent="0.3">
      <c r="A156" s="1" t="s">
        <v>169</v>
      </c>
      <c r="B156">
        <v>155</v>
      </c>
      <c r="C156" t="s">
        <v>91</v>
      </c>
      <c r="D156">
        <v>2.6930000782012899</v>
      </c>
      <c r="E156">
        <v>2.8648842692375198</v>
      </c>
      <c r="F156">
        <v>2.5211158871650698</v>
      </c>
      <c r="G156">
        <v>0</v>
      </c>
      <c r="H156">
        <v>0</v>
      </c>
      <c r="I156">
        <v>1.8772685900330498E-2</v>
      </c>
      <c r="J156">
        <v>0.270842045545578</v>
      </c>
      <c r="K156">
        <v>0.28087648749351501</v>
      </c>
      <c r="L156">
        <v>5.6565076112747199E-2</v>
      </c>
      <c r="M156">
        <v>2.0660047531127899</v>
      </c>
      <c r="N156">
        <v>2017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7AB7-1B4A-4428-8DF0-668E53E3B319}">
  <dimension ref="A1:K157"/>
  <sheetViews>
    <sheetView workbookViewId="0">
      <selection activeCell="C3" sqref="C3"/>
    </sheetView>
  </sheetViews>
  <sheetFormatPr defaultRowHeight="14.4" x14ac:dyDescent="0.3"/>
  <cols>
    <col min="1" max="1" width="12.77734375" bestFit="1" customWidth="1"/>
    <col min="2" max="2" width="20.5546875" bestFit="1" customWidth="1"/>
    <col min="3" max="3" width="26.5546875" bestFit="1" customWidth="1"/>
    <col min="4" max="4" width="7.88671875" bestFit="1" customWidth="1"/>
    <col min="5" max="5" width="15.33203125" bestFit="1" customWidth="1"/>
    <col min="6" max="6" width="14.5546875" bestFit="1" customWidth="1"/>
    <col min="7" max="7" width="21.77734375" bestFit="1" customWidth="1"/>
    <col min="8" max="8" width="26.88671875" bestFit="1" customWidth="1"/>
    <col min="9" max="9" width="11.88671875" bestFit="1" customWidth="1"/>
    <col min="10" max="10" width="23.77734375" bestFit="1" customWidth="1"/>
  </cols>
  <sheetData>
    <row r="1" spans="1:11" x14ac:dyDescent="0.3">
      <c r="A1" t="s">
        <v>198</v>
      </c>
      <c r="B1" t="s">
        <v>199</v>
      </c>
      <c r="C1" t="s">
        <v>1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10</v>
      </c>
      <c r="J1" t="s">
        <v>205</v>
      </c>
      <c r="K1" t="s">
        <v>321</v>
      </c>
    </row>
    <row r="2" spans="1:11" x14ac:dyDescent="0.3">
      <c r="A2">
        <v>1</v>
      </c>
      <c r="B2" s="1" t="s">
        <v>19</v>
      </c>
      <c r="C2" s="1" t="str">
        <f>VLOOKUP(_2018[[#This Row],[Country or region]],'2016'!$1:$1048576,2,FALSE)</f>
        <v>Western Europe</v>
      </c>
      <c r="D2">
        <v>7.6319999999999997</v>
      </c>
      <c r="E2">
        <v>1.3049999999999999</v>
      </c>
      <c r="F2">
        <v>1.5920000000000001</v>
      </c>
      <c r="G2">
        <v>0.874</v>
      </c>
      <c r="H2">
        <v>0.68100000000000005</v>
      </c>
      <c r="I2">
        <v>0.20200000000000001</v>
      </c>
      <c r="J2" s="1" t="s">
        <v>206</v>
      </c>
      <c r="K2">
        <v>2018</v>
      </c>
    </row>
    <row r="3" spans="1:11" x14ac:dyDescent="0.3">
      <c r="A3">
        <v>2</v>
      </c>
      <c r="B3" s="1" t="s">
        <v>16</v>
      </c>
      <c r="C3" s="1" t="str">
        <f>VLOOKUP(_2018[[#This Row],[Country or region]],'2016'!$1:$1048576,2,FALSE)</f>
        <v>Western Europe</v>
      </c>
      <c r="D3">
        <v>7.5940000000000003</v>
      </c>
      <c r="E3">
        <v>1.456</v>
      </c>
      <c r="F3">
        <v>1.5820000000000001</v>
      </c>
      <c r="G3">
        <v>0.86099999999999999</v>
      </c>
      <c r="H3">
        <v>0.68600000000000005</v>
      </c>
      <c r="I3">
        <v>0.28599999999999998</v>
      </c>
      <c r="J3" s="1" t="s">
        <v>207</v>
      </c>
      <c r="K3">
        <v>2018</v>
      </c>
    </row>
    <row r="4" spans="1:11" x14ac:dyDescent="0.3">
      <c r="A4">
        <v>3</v>
      </c>
      <c r="B4" s="1" t="s">
        <v>15</v>
      </c>
      <c r="C4" s="1" t="str">
        <f>VLOOKUP(_2018[[#This Row],[Country or region]],'2016'!$1:$1048576,2,FALSE)</f>
        <v>Western Europe</v>
      </c>
      <c r="D4">
        <v>7.5549999999999997</v>
      </c>
      <c r="E4">
        <v>1.351</v>
      </c>
      <c r="F4">
        <v>1.59</v>
      </c>
      <c r="G4">
        <v>0.86799999999999999</v>
      </c>
      <c r="H4">
        <v>0.68300000000000005</v>
      </c>
      <c r="I4">
        <v>0.28399999999999997</v>
      </c>
      <c r="J4" s="1" t="s">
        <v>208</v>
      </c>
      <c r="K4">
        <v>2018</v>
      </c>
    </row>
    <row r="5" spans="1:11" x14ac:dyDescent="0.3">
      <c r="A5">
        <v>4</v>
      </c>
      <c r="B5" s="1" t="s">
        <v>14</v>
      </c>
      <c r="C5" s="1" t="str">
        <f>VLOOKUP(_2018[[#This Row],[Country or region]],'2016'!$1:$1048576,2,FALSE)</f>
        <v>Western Europe</v>
      </c>
      <c r="D5">
        <v>7.4950000000000001</v>
      </c>
      <c r="E5">
        <v>1.343</v>
      </c>
      <c r="F5">
        <v>1.6439999999999999</v>
      </c>
      <c r="G5">
        <v>0.91400000000000003</v>
      </c>
      <c r="H5">
        <v>0.67700000000000005</v>
      </c>
      <c r="I5">
        <v>0.35299999999999998</v>
      </c>
      <c r="J5" s="1" t="s">
        <v>209</v>
      </c>
      <c r="K5">
        <v>2018</v>
      </c>
    </row>
    <row r="6" spans="1:11" x14ac:dyDescent="0.3">
      <c r="A6">
        <v>5</v>
      </c>
      <c r="B6" s="1" t="s">
        <v>12</v>
      </c>
      <c r="C6" s="1" t="str">
        <f>VLOOKUP(_2018[[#This Row],[Country or region]],'2016'!$1:$1048576,2,FALSE)</f>
        <v>Western Europe</v>
      </c>
      <c r="D6">
        <v>7.4870000000000001</v>
      </c>
      <c r="E6">
        <v>1.42</v>
      </c>
      <c r="F6">
        <v>1.5489999999999999</v>
      </c>
      <c r="G6">
        <v>0.92700000000000005</v>
      </c>
      <c r="H6">
        <v>0.66</v>
      </c>
      <c r="I6">
        <v>0.25600000000000001</v>
      </c>
      <c r="J6" s="1" t="s">
        <v>210</v>
      </c>
      <c r="K6">
        <v>2018</v>
      </c>
    </row>
    <row r="7" spans="1:11" x14ac:dyDescent="0.3">
      <c r="A7">
        <v>6</v>
      </c>
      <c r="B7" s="1" t="s">
        <v>20</v>
      </c>
      <c r="C7" s="1" t="str">
        <f>VLOOKUP(_2018[[#This Row],[Country or region]],'2016'!$1:$1048576,2,FALSE)</f>
        <v>Western Europe</v>
      </c>
      <c r="D7">
        <v>7.4409999999999998</v>
      </c>
      <c r="E7">
        <v>1.361</v>
      </c>
      <c r="F7">
        <v>1.488</v>
      </c>
      <c r="G7">
        <v>0.878</v>
      </c>
      <c r="H7">
        <v>0.63800000000000001</v>
      </c>
      <c r="I7">
        <v>0.33300000000000002</v>
      </c>
      <c r="J7" s="1" t="s">
        <v>211</v>
      </c>
      <c r="K7">
        <v>2018</v>
      </c>
    </row>
    <row r="8" spans="1:11" x14ac:dyDescent="0.3">
      <c r="A8">
        <v>7</v>
      </c>
      <c r="B8" s="1" t="s">
        <v>17</v>
      </c>
      <c r="C8" s="1" t="str">
        <f>VLOOKUP(_2018[[#This Row],[Country or region]],'2016'!$1:$1048576,2,FALSE)</f>
        <v>North America</v>
      </c>
      <c r="D8">
        <v>7.3280000000000003</v>
      </c>
      <c r="E8">
        <v>1.33</v>
      </c>
      <c r="F8">
        <v>1.532</v>
      </c>
      <c r="G8">
        <v>0.89600000000000002</v>
      </c>
      <c r="H8">
        <v>0.65300000000000002</v>
      </c>
      <c r="I8">
        <v>0.32100000000000001</v>
      </c>
      <c r="J8" s="1" t="s">
        <v>212</v>
      </c>
      <c r="K8">
        <v>2018</v>
      </c>
    </row>
    <row r="9" spans="1:11" x14ac:dyDescent="0.3">
      <c r="A9">
        <v>8</v>
      </c>
      <c r="B9" s="1" t="s">
        <v>22</v>
      </c>
      <c r="C9" s="1" t="str">
        <f>VLOOKUP(_2018[[#This Row],[Country or region]],'2016'!$1:$1048576,2,FALSE)</f>
        <v>Australia and New Zealand</v>
      </c>
      <c r="D9">
        <v>7.3239999999999998</v>
      </c>
      <c r="E9">
        <v>1.268</v>
      </c>
      <c r="F9">
        <v>1.601</v>
      </c>
      <c r="G9">
        <v>0.876</v>
      </c>
      <c r="H9">
        <v>0.66900000000000004</v>
      </c>
      <c r="I9">
        <v>0.36499999999999999</v>
      </c>
      <c r="J9" s="1" t="s">
        <v>213</v>
      </c>
      <c r="K9">
        <v>2018</v>
      </c>
    </row>
    <row r="10" spans="1:11" x14ac:dyDescent="0.3">
      <c r="A10">
        <v>9</v>
      </c>
      <c r="B10" s="1" t="s">
        <v>21</v>
      </c>
      <c r="C10" s="1" t="str">
        <f>VLOOKUP(_2018[[#This Row],[Country or region]],'2016'!$1:$1048576,2,FALSE)</f>
        <v>Western Europe</v>
      </c>
      <c r="D10">
        <v>7.3140000000000001</v>
      </c>
      <c r="E10">
        <v>1.355</v>
      </c>
      <c r="F10">
        <v>1.5009999999999999</v>
      </c>
      <c r="G10">
        <v>0.91300000000000003</v>
      </c>
      <c r="H10">
        <v>0.65900000000000003</v>
      </c>
      <c r="I10">
        <v>0.28499999999999998</v>
      </c>
      <c r="J10" s="1" t="s">
        <v>214</v>
      </c>
      <c r="K10">
        <v>2018</v>
      </c>
    </row>
    <row r="11" spans="1:11" x14ac:dyDescent="0.3">
      <c r="A11">
        <v>10</v>
      </c>
      <c r="B11" s="1" t="s">
        <v>24</v>
      </c>
      <c r="C11" s="1" t="str">
        <f>VLOOKUP(_2018[[#This Row],[Country or region]],'2016'!$1:$1048576,2,FALSE)</f>
        <v>Australia and New Zealand</v>
      </c>
      <c r="D11">
        <v>7.2720000000000002</v>
      </c>
      <c r="E11">
        <v>1.34</v>
      </c>
      <c r="F11">
        <v>1.573</v>
      </c>
      <c r="G11">
        <v>0.91</v>
      </c>
      <c r="H11">
        <v>0.64700000000000002</v>
      </c>
      <c r="I11">
        <v>0.36099999999999999</v>
      </c>
      <c r="J11" s="1" t="s">
        <v>215</v>
      </c>
      <c r="K11">
        <v>2018</v>
      </c>
    </row>
    <row r="12" spans="1:11" x14ac:dyDescent="0.3">
      <c r="A12">
        <v>11</v>
      </c>
      <c r="B12" s="1" t="s">
        <v>37</v>
      </c>
      <c r="C12" s="1" t="str">
        <f>VLOOKUP(_2018[[#This Row],[Country or region]],'2016'!$1:$1048576,2,FALSE)</f>
        <v>Western Europe</v>
      </c>
      <c r="D12">
        <v>7.19</v>
      </c>
      <c r="E12">
        <v>1.244</v>
      </c>
      <c r="F12">
        <v>1.4330000000000001</v>
      </c>
      <c r="G12">
        <v>0.88800000000000001</v>
      </c>
      <c r="H12">
        <v>0.46400000000000002</v>
      </c>
      <c r="I12">
        <v>0.26200000000000001</v>
      </c>
      <c r="J12" s="1" t="s">
        <v>216</v>
      </c>
      <c r="K12">
        <v>2018</v>
      </c>
    </row>
    <row r="13" spans="1:11" x14ac:dyDescent="0.3">
      <c r="A13">
        <v>12</v>
      </c>
      <c r="B13" s="1" t="s">
        <v>29</v>
      </c>
      <c r="C13" s="1" t="str">
        <f>VLOOKUP(_2018[[#This Row],[Country or region]],'2016'!$1:$1048576,2,FALSE)</f>
        <v>Western Europe</v>
      </c>
      <c r="D13">
        <v>7.1390000000000002</v>
      </c>
      <c r="E13">
        <v>1.341</v>
      </c>
      <c r="F13">
        <v>1.504</v>
      </c>
      <c r="G13">
        <v>0.89100000000000001</v>
      </c>
      <c r="H13">
        <v>0.61699999999999999</v>
      </c>
      <c r="I13">
        <v>0.24199999999999999</v>
      </c>
      <c r="J13" s="1" t="s">
        <v>217</v>
      </c>
      <c r="K13">
        <v>2018</v>
      </c>
    </row>
    <row r="14" spans="1:11" x14ac:dyDescent="0.3">
      <c r="A14">
        <v>13</v>
      </c>
      <c r="B14" s="1" t="s">
        <v>27</v>
      </c>
      <c r="C14" s="1" t="str">
        <f>VLOOKUP(_2018[[#This Row],[Country or region]],'2016'!$1:$1048576,2,FALSE)</f>
        <v>Latin America and Caribbean</v>
      </c>
      <c r="D14">
        <v>7.0720000000000001</v>
      </c>
      <c r="E14">
        <v>1.01</v>
      </c>
      <c r="F14">
        <v>1.4590000000000001</v>
      </c>
      <c r="G14">
        <v>0.81699999999999995</v>
      </c>
      <c r="H14">
        <v>0.63200000000000001</v>
      </c>
      <c r="I14">
        <v>0.14299999999999999</v>
      </c>
      <c r="J14" s="1" t="s">
        <v>218</v>
      </c>
      <c r="K14">
        <v>2018</v>
      </c>
    </row>
    <row r="15" spans="1:11" x14ac:dyDescent="0.3">
      <c r="A15">
        <v>14</v>
      </c>
      <c r="B15" s="1" t="s">
        <v>34</v>
      </c>
      <c r="C15" s="1" t="str">
        <f>VLOOKUP(_2018[[#This Row],[Country or region]],'2016'!$1:$1048576,2,FALSE)</f>
        <v>Western Europe</v>
      </c>
      <c r="D15">
        <v>6.9770000000000003</v>
      </c>
      <c r="E15">
        <v>1.448</v>
      </c>
      <c r="F15">
        <v>1.583</v>
      </c>
      <c r="G15">
        <v>0.876</v>
      </c>
      <c r="H15">
        <v>0.61399999999999999</v>
      </c>
      <c r="I15">
        <v>0.307</v>
      </c>
      <c r="J15" s="1" t="s">
        <v>219</v>
      </c>
      <c r="K15">
        <v>2018</v>
      </c>
    </row>
    <row r="16" spans="1:11" x14ac:dyDescent="0.3">
      <c r="A16">
        <v>15</v>
      </c>
      <c r="B16" s="1" t="s">
        <v>43</v>
      </c>
      <c r="C16" s="1" t="str">
        <f>VLOOKUP(_2018[[#This Row],[Country or region]],'2016'!$1:$1048576,2,FALSE)</f>
        <v>Western Europe</v>
      </c>
      <c r="D16">
        <v>6.9649999999999999</v>
      </c>
      <c r="E16">
        <v>1.34</v>
      </c>
      <c r="F16">
        <v>1.474</v>
      </c>
      <c r="G16">
        <v>0.86099999999999999</v>
      </c>
      <c r="H16">
        <v>0.58599999999999997</v>
      </c>
      <c r="I16">
        <v>0.27300000000000002</v>
      </c>
      <c r="J16" s="1" t="s">
        <v>220</v>
      </c>
      <c r="K16">
        <v>2018</v>
      </c>
    </row>
    <row r="17" spans="1:11" x14ac:dyDescent="0.3">
      <c r="A17">
        <v>16</v>
      </c>
      <c r="B17" s="1" t="s">
        <v>35</v>
      </c>
      <c r="C17" s="1" t="str">
        <f>VLOOKUP(_2018[[#This Row],[Country or region]],'2016'!$1:$1048576,2,FALSE)</f>
        <v>Western Europe</v>
      </c>
      <c r="D17">
        <v>6.9269999999999996</v>
      </c>
      <c r="E17">
        <v>1.3240000000000001</v>
      </c>
      <c r="F17">
        <v>1.4830000000000001</v>
      </c>
      <c r="G17">
        <v>0.89400000000000002</v>
      </c>
      <c r="H17">
        <v>0.58299999999999996</v>
      </c>
      <c r="I17">
        <v>0.188</v>
      </c>
      <c r="J17" s="1" t="s">
        <v>221</v>
      </c>
      <c r="K17">
        <v>2018</v>
      </c>
    </row>
    <row r="18" spans="1:11" x14ac:dyDescent="0.3">
      <c r="A18">
        <v>17</v>
      </c>
      <c r="B18" s="1" t="s">
        <v>33</v>
      </c>
      <c r="C18" s="1" t="str">
        <f>VLOOKUP(_2018[[#This Row],[Country or region]],'2016'!$1:$1048576,2,FALSE)</f>
        <v>Western Europe</v>
      </c>
      <c r="D18">
        <v>6.91</v>
      </c>
      <c r="E18">
        <v>1.5760000000000001</v>
      </c>
      <c r="F18">
        <v>1.52</v>
      </c>
      <c r="G18">
        <v>0.89600000000000002</v>
      </c>
      <c r="H18">
        <v>0.63200000000000001</v>
      </c>
      <c r="I18">
        <v>0.19600000000000001</v>
      </c>
      <c r="J18" s="1" t="s">
        <v>222</v>
      </c>
      <c r="K18">
        <v>2018</v>
      </c>
    </row>
    <row r="19" spans="1:11" x14ac:dyDescent="0.3">
      <c r="A19">
        <v>18</v>
      </c>
      <c r="B19" s="1" t="s">
        <v>31</v>
      </c>
      <c r="C19" s="1" t="str">
        <f>VLOOKUP(_2018[[#This Row],[Country or region]],'2016'!$1:$1048576,2,FALSE)</f>
        <v>North America</v>
      </c>
      <c r="D19">
        <v>6.8860000000000001</v>
      </c>
      <c r="E19">
        <v>1.3979999999999999</v>
      </c>
      <c r="F19">
        <v>1.4710000000000001</v>
      </c>
      <c r="G19">
        <v>0.81899999999999995</v>
      </c>
      <c r="H19">
        <v>0.54700000000000004</v>
      </c>
      <c r="I19">
        <v>0.29099999999999998</v>
      </c>
      <c r="J19" s="1" t="s">
        <v>223</v>
      </c>
      <c r="K19">
        <v>2018</v>
      </c>
    </row>
    <row r="20" spans="1:11" x14ac:dyDescent="0.3">
      <c r="A20">
        <v>19</v>
      </c>
      <c r="B20" s="1" t="s">
        <v>25</v>
      </c>
      <c r="C20" s="1" t="str">
        <f>VLOOKUP(_2018[[#This Row],[Country or region]],'2016'!$1:$1048576,2,FALSE)</f>
        <v>Middle East and Northern Africa</v>
      </c>
      <c r="D20">
        <v>6.8140000000000001</v>
      </c>
      <c r="E20">
        <v>1.3009999999999999</v>
      </c>
      <c r="F20">
        <v>1.5589999999999999</v>
      </c>
      <c r="G20">
        <v>0.88300000000000001</v>
      </c>
      <c r="H20">
        <v>0.53300000000000003</v>
      </c>
      <c r="I20">
        <v>0.35399999999999998</v>
      </c>
      <c r="J20" s="1" t="s">
        <v>224</v>
      </c>
      <c r="K20">
        <v>2018</v>
      </c>
    </row>
    <row r="21" spans="1:11" x14ac:dyDescent="0.3">
      <c r="A21">
        <v>20</v>
      </c>
      <c r="B21" s="1" t="s">
        <v>36</v>
      </c>
      <c r="C21" s="1" t="str">
        <f>VLOOKUP(_2018[[#This Row],[Country or region]],'2016'!$1:$1048576,2,FALSE)</f>
        <v>Middle East and Northern Africa</v>
      </c>
      <c r="D21">
        <v>6.774</v>
      </c>
      <c r="E21">
        <v>2.0960000000000001</v>
      </c>
      <c r="F21">
        <v>0.77600000000000002</v>
      </c>
      <c r="G21">
        <v>0.67</v>
      </c>
      <c r="H21">
        <v>0.28399999999999997</v>
      </c>
      <c r="I21">
        <v>0.186</v>
      </c>
      <c r="J21" s="1" t="s">
        <v>225</v>
      </c>
      <c r="K21">
        <v>2018</v>
      </c>
    </row>
    <row r="22" spans="1:11" x14ac:dyDescent="0.3">
      <c r="A22">
        <v>21</v>
      </c>
      <c r="B22" s="1" t="s">
        <v>48</v>
      </c>
      <c r="C22" s="1" t="str">
        <f>VLOOKUP(_2018[[#This Row],[Country or region]],'2016'!$1:$1048576,2,FALSE)</f>
        <v>Central and Eastern Europe</v>
      </c>
      <c r="D22">
        <v>6.7110000000000003</v>
      </c>
      <c r="E22">
        <v>1.2330000000000001</v>
      </c>
      <c r="F22">
        <v>1.4890000000000001</v>
      </c>
      <c r="G22">
        <v>0.85399999999999998</v>
      </c>
      <c r="H22">
        <v>0.54300000000000004</v>
      </c>
      <c r="I22">
        <v>6.4000000000000001E-2</v>
      </c>
      <c r="J22" s="1" t="s">
        <v>226</v>
      </c>
      <c r="K22">
        <v>2018</v>
      </c>
    </row>
    <row r="23" spans="1:11" x14ac:dyDescent="0.3">
      <c r="A23">
        <v>22</v>
      </c>
      <c r="B23" s="1" t="s">
        <v>55</v>
      </c>
      <c r="C23" s="1" t="str">
        <f>VLOOKUP(_2018[[#This Row],[Country or region]],'2016'!$1:$1048576,2,FALSE)</f>
        <v>Western Europe</v>
      </c>
      <c r="D23">
        <v>6.6269999999999998</v>
      </c>
      <c r="E23">
        <v>1.27</v>
      </c>
      <c r="F23">
        <v>1.5249999999999999</v>
      </c>
      <c r="G23">
        <v>0.88400000000000001</v>
      </c>
      <c r="H23">
        <v>0.64500000000000002</v>
      </c>
      <c r="I23">
        <v>0.376</v>
      </c>
      <c r="J23" s="1" t="s">
        <v>227</v>
      </c>
      <c r="K23">
        <v>2018</v>
      </c>
    </row>
    <row r="24" spans="1:11" x14ac:dyDescent="0.3">
      <c r="A24">
        <v>23</v>
      </c>
      <c r="B24" s="1" t="s">
        <v>46</v>
      </c>
      <c r="C24" s="1" t="str">
        <f>VLOOKUP(_2018[[#This Row],[Country or region]],'2016'!$1:$1048576,2,FALSE)</f>
        <v>Western Europe</v>
      </c>
      <c r="D24">
        <v>6.4889999999999999</v>
      </c>
      <c r="E24">
        <v>1.2929999999999999</v>
      </c>
      <c r="F24">
        <v>1.466</v>
      </c>
      <c r="G24">
        <v>0.90800000000000003</v>
      </c>
      <c r="H24">
        <v>0.52</v>
      </c>
      <c r="I24">
        <v>9.8000000000000004E-2</v>
      </c>
      <c r="J24" s="1" t="s">
        <v>228</v>
      </c>
      <c r="K24">
        <v>2018</v>
      </c>
    </row>
    <row r="25" spans="1:11" x14ac:dyDescent="0.3">
      <c r="A25">
        <v>24</v>
      </c>
      <c r="B25" s="1" t="s">
        <v>30</v>
      </c>
      <c r="C25" s="1" t="str">
        <f>VLOOKUP(_2018[[#This Row],[Country or region]],'2016'!$1:$1048576,2,FALSE)</f>
        <v>Latin America and Caribbean</v>
      </c>
      <c r="D25">
        <v>6.4880000000000004</v>
      </c>
      <c r="E25">
        <v>1.038</v>
      </c>
      <c r="F25">
        <v>1.252</v>
      </c>
      <c r="G25">
        <v>0.76100000000000001</v>
      </c>
      <c r="H25">
        <v>0.47899999999999998</v>
      </c>
      <c r="I25">
        <v>6.9000000000000006E-2</v>
      </c>
      <c r="J25" s="1" t="s">
        <v>229</v>
      </c>
      <c r="K25">
        <v>2018</v>
      </c>
    </row>
    <row r="26" spans="1:11" x14ac:dyDescent="0.3">
      <c r="A26">
        <v>25</v>
      </c>
      <c r="B26" s="1" t="s">
        <v>44</v>
      </c>
      <c r="C26" s="1" t="str">
        <f>VLOOKUP(_2018[[#This Row],[Country or region]],'2016'!$1:$1048576,2,FALSE)</f>
        <v>Latin America and Caribbean</v>
      </c>
      <c r="D26">
        <v>6.476</v>
      </c>
      <c r="E26">
        <v>1.131</v>
      </c>
      <c r="F26">
        <v>1.331</v>
      </c>
      <c r="G26">
        <v>0.80800000000000005</v>
      </c>
      <c r="H26">
        <v>0.43099999999999999</v>
      </c>
      <c r="I26">
        <v>0.19700000000000001</v>
      </c>
      <c r="J26" s="1" t="s">
        <v>230</v>
      </c>
      <c r="K26">
        <v>2018</v>
      </c>
    </row>
    <row r="27" spans="1:11" x14ac:dyDescent="0.3">
      <c r="A27">
        <v>26</v>
      </c>
      <c r="B27" s="1" t="s">
        <v>56</v>
      </c>
      <c r="C27" s="1" t="str">
        <f>VLOOKUP(_2018[[#This Row],[Country or region]],'2016'!$1:$1048576,2,FALSE)</f>
        <v>Eastern Asia</v>
      </c>
      <c r="D27">
        <v>6.4409999999999998</v>
      </c>
      <c r="E27">
        <v>1.365</v>
      </c>
      <c r="F27">
        <v>1.4359999999999999</v>
      </c>
      <c r="G27">
        <v>0.85699999999999998</v>
      </c>
      <c r="H27">
        <v>0.41799999999999998</v>
      </c>
      <c r="I27">
        <v>0.151</v>
      </c>
      <c r="J27" s="1" t="s">
        <v>231</v>
      </c>
      <c r="K27">
        <v>2018</v>
      </c>
    </row>
    <row r="28" spans="1:11" x14ac:dyDescent="0.3">
      <c r="A28">
        <v>27</v>
      </c>
      <c r="B28" s="1" t="s">
        <v>42</v>
      </c>
      <c r="C28" s="1" t="str">
        <f>VLOOKUP(_2018[[#This Row],[Country or region]],'2016'!$1:$1048576,2,FALSE)</f>
        <v>Latin America and Caribbean</v>
      </c>
      <c r="D28">
        <v>6.43</v>
      </c>
      <c r="E28">
        <v>1.1120000000000001</v>
      </c>
      <c r="F28">
        <v>1.4379999999999999</v>
      </c>
      <c r="G28">
        <v>0.75900000000000001</v>
      </c>
      <c r="H28">
        <v>0.59699999999999998</v>
      </c>
      <c r="I28">
        <v>0.125</v>
      </c>
      <c r="J28" s="1" t="s">
        <v>232</v>
      </c>
      <c r="K28">
        <v>2018</v>
      </c>
    </row>
    <row r="29" spans="1:11" x14ac:dyDescent="0.3">
      <c r="A29">
        <v>28</v>
      </c>
      <c r="B29" s="1" t="s">
        <v>32</v>
      </c>
      <c r="C29" s="1" t="str">
        <f>VLOOKUP(_2018[[#This Row],[Country or region]],'2016'!$1:$1048576,2,FALSE)</f>
        <v>Latin America and Caribbean</v>
      </c>
      <c r="D29">
        <v>6.4189999999999996</v>
      </c>
      <c r="E29">
        <v>0.98599999999999999</v>
      </c>
      <c r="F29">
        <v>1.474</v>
      </c>
      <c r="G29">
        <v>0.67500000000000004</v>
      </c>
      <c r="H29">
        <v>0.49299999999999999</v>
      </c>
      <c r="I29">
        <v>0.11</v>
      </c>
      <c r="J29" s="1" t="s">
        <v>233</v>
      </c>
      <c r="K29">
        <v>2018</v>
      </c>
    </row>
    <row r="30" spans="1:11" x14ac:dyDescent="0.3">
      <c r="A30">
        <v>29</v>
      </c>
      <c r="B30" s="1" t="s">
        <v>47</v>
      </c>
      <c r="C30" s="1" t="str">
        <f>VLOOKUP(_2018[[#This Row],[Country or region]],'2016'!$1:$1048576,2,FALSE)</f>
        <v>Latin America and Caribbean</v>
      </c>
      <c r="D30">
        <v>6.3879999999999999</v>
      </c>
      <c r="E30">
        <v>1.073</v>
      </c>
      <c r="F30">
        <v>1.468</v>
      </c>
      <c r="G30">
        <v>0.74399999999999999</v>
      </c>
      <c r="H30">
        <v>0.56999999999999995</v>
      </c>
      <c r="I30">
        <v>6.2E-2</v>
      </c>
      <c r="J30" s="1" t="s">
        <v>234</v>
      </c>
      <c r="K30">
        <v>2018</v>
      </c>
    </row>
    <row r="31" spans="1:11" x14ac:dyDescent="0.3">
      <c r="A31">
        <v>30</v>
      </c>
      <c r="B31" s="1" t="s">
        <v>62</v>
      </c>
      <c r="C31" s="1" t="str">
        <f>VLOOKUP(_2018[[#This Row],[Country or region]],'2016'!$1:$1048576,2,FALSE)</f>
        <v>Latin America and Caribbean</v>
      </c>
      <c r="D31">
        <v>6.3819999999999997</v>
      </c>
      <c r="E31">
        <v>0.78100000000000003</v>
      </c>
      <c r="F31">
        <v>1.268</v>
      </c>
      <c r="G31">
        <v>0.60799999999999998</v>
      </c>
      <c r="H31">
        <v>0.60399999999999998</v>
      </c>
      <c r="I31">
        <v>0.17899999999999999</v>
      </c>
      <c r="J31" s="1" t="s">
        <v>235</v>
      </c>
      <c r="K31">
        <v>2018</v>
      </c>
    </row>
    <row r="32" spans="1:11" x14ac:dyDescent="0.3">
      <c r="A32">
        <v>31</v>
      </c>
      <c r="B32" s="1" t="s">
        <v>50</v>
      </c>
      <c r="C32" s="1" t="str">
        <f>VLOOKUP(_2018[[#This Row],[Country or region]],'2016'!$1:$1048576,2,FALSE)</f>
        <v>Latin America and Caribbean</v>
      </c>
      <c r="D32">
        <v>6.3789999999999996</v>
      </c>
      <c r="E32">
        <v>1.093</v>
      </c>
      <c r="F32">
        <v>1.4590000000000001</v>
      </c>
      <c r="G32">
        <v>0.77100000000000002</v>
      </c>
      <c r="H32">
        <v>0.625</v>
      </c>
      <c r="I32">
        <v>0.13</v>
      </c>
      <c r="J32" s="1" t="s">
        <v>236</v>
      </c>
      <c r="K32">
        <v>2018</v>
      </c>
    </row>
    <row r="33" spans="1:11" x14ac:dyDescent="0.3">
      <c r="A33">
        <v>32</v>
      </c>
      <c r="B33" s="1" t="s">
        <v>45</v>
      </c>
      <c r="C33" s="1" t="str">
        <f>VLOOKUP(_2018[[#This Row],[Country or region]],'2016'!$1:$1048576,2,FALSE)</f>
        <v>Middle East and Northern Africa</v>
      </c>
      <c r="D33">
        <v>6.3739999999999997</v>
      </c>
      <c r="E33">
        <v>1.649</v>
      </c>
      <c r="F33">
        <v>1.3029999999999999</v>
      </c>
      <c r="G33">
        <v>0.748</v>
      </c>
      <c r="H33">
        <v>0.65400000000000003</v>
      </c>
      <c r="I33">
        <v>0.25600000000000001</v>
      </c>
      <c r="J33" s="1" t="s">
        <v>237</v>
      </c>
      <c r="K33">
        <v>2018</v>
      </c>
    </row>
    <row r="34" spans="1:11" x14ac:dyDescent="0.3">
      <c r="A34">
        <v>33</v>
      </c>
      <c r="B34" s="1" t="s">
        <v>53</v>
      </c>
      <c r="C34" s="1" t="str">
        <f>VLOOKUP(_2018[[#This Row],[Country or region]],'2016'!$1:$1048576,2,FALSE)</f>
        <v>Middle East and Northern Africa</v>
      </c>
      <c r="D34">
        <v>6.3710000000000004</v>
      </c>
      <c r="E34">
        <v>1.379</v>
      </c>
      <c r="F34">
        <v>1.331</v>
      </c>
      <c r="G34">
        <v>0.63300000000000001</v>
      </c>
      <c r="H34">
        <v>0.50900000000000001</v>
      </c>
      <c r="I34">
        <v>9.8000000000000004E-2</v>
      </c>
      <c r="J34" s="1" t="s">
        <v>238</v>
      </c>
      <c r="K34">
        <v>2018</v>
      </c>
    </row>
    <row r="35" spans="1:11" x14ac:dyDescent="0.3">
      <c r="A35">
        <v>34</v>
      </c>
      <c r="B35" s="1" t="s">
        <v>40</v>
      </c>
      <c r="C35" s="1" t="str">
        <f>VLOOKUP(_2018[[#This Row],[Country or region]],'2016'!$1:$1048576,2,FALSE)</f>
        <v>Southeastern Asia</v>
      </c>
      <c r="D35">
        <v>6.343</v>
      </c>
      <c r="E35">
        <v>1.5289999999999999</v>
      </c>
      <c r="F35">
        <v>1.4510000000000001</v>
      </c>
      <c r="G35">
        <v>1.008</v>
      </c>
      <c r="H35">
        <v>0.63100000000000001</v>
      </c>
      <c r="I35">
        <v>0.26100000000000001</v>
      </c>
      <c r="J35" s="1" t="s">
        <v>239</v>
      </c>
      <c r="K35">
        <v>2018</v>
      </c>
    </row>
    <row r="36" spans="1:11" x14ac:dyDescent="0.3">
      <c r="A36">
        <v>35</v>
      </c>
      <c r="B36" s="1" t="s">
        <v>80</v>
      </c>
      <c r="C36" s="1" t="str">
        <f>VLOOKUP(_2018[[#This Row],[Country or region]],'2016'!$1:$1048576,2,FALSE)</f>
        <v>Southeastern Asia</v>
      </c>
      <c r="D36">
        <v>6.3220000000000001</v>
      </c>
      <c r="E36">
        <v>1.161</v>
      </c>
      <c r="F36">
        <v>1.258</v>
      </c>
      <c r="G36">
        <v>0.66900000000000004</v>
      </c>
      <c r="H36">
        <v>0.35599999999999998</v>
      </c>
      <c r="I36">
        <v>0.311</v>
      </c>
      <c r="J36" s="1" t="s">
        <v>240</v>
      </c>
      <c r="K36">
        <v>2018</v>
      </c>
    </row>
    <row r="37" spans="1:11" x14ac:dyDescent="0.3">
      <c r="A37">
        <v>36</v>
      </c>
      <c r="B37" s="1" t="s">
        <v>54</v>
      </c>
      <c r="C37" s="1" t="str">
        <f>VLOOKUP(_2018[[#This Row],[Country or region]],'2016'!$1:$1048576,2,FALSE)</f>
        <v>Western Europe</v>
      </c>
      <c r="D37">
        <v>6.31</v>
      </c>
      <c r="E37">
        <v>1.2509999999999999</v>
      </c>
      <c r="F37">
        <v>1.538</v>
      </c>
      <c r="G37">
        <v>0.96499999999999997</v>
      </c>
      <c r="H37">
        <v>0.44900000000000001</v>
      </c>
      <c r="I37">
        <v>0.14199999999999999</v>
      </c>
      <c r="J37" s="1" t="s">
        <v>241</v>
      </c>
      <c r="K37">
        <v>2018</v>
      </c>
    </row>
    <row r="38" spans="1:11" x14ac:dyDescent="0.3">
      <c r="A38">
        <v>37</v>
      </c>
      <c r="B38" s="1" t="s">
        <v>51</v>
      </c>
      <c r="C38" s="1" t="str">
        <f>VLOOKUP(_2018[[#This Row],[Country or region]],'2016'!$1:$1048576,2,FALSE)</f>
        <v>Latin America and Caribbean</v>
      </c>
      <c r="D38">
        <v>6.26</v>
      </c>
      <c r="E38">
        <v>0.96</v>
      </c>
      <c r="F38">
        <v>1.4390000000000001</v>
      </c>
      <c r="G38">
        <v>0.63500000000000001</v>
      </c>
      <c r="H38">
        <v>0.53100000000000003</v>
      </c>
      <c r="I38">
        <v>9.9000000000000005E-2</v>
      </c>
      <c r="J38" s="1" t="s">
        <v>242</v>
      </c>
      <c r="K38">
        <v>2018</v>
      </c>
    </row>
    <row r="39" spans="1:11" x14ac:dyDescent="0.3">
      <c r="A39">
        <v>38</v>
      </c>
      <c r="B39" s="1" t="s">
        <v>243</v>
      </c>
      <c r="C39" s="1" t="s">
        <v>28</v>
      </c>
      <c r="D39">
        <v>6.1920000000000002</v>
      </c>
      <c r="E39">
        <v>1.2230000000000001</v>
      </c>
      <c r="F39">
        <v>1.492</v>
      </c>
      <c r="G39">
        <v>0.56399999999999995</v>
      </c>
      <c r="H39">
        <v>0.57499999999999996</v>
      </c>
      <c r="I39">
        <v>0.17100000000000001</v>
      </c>
      <c r="J39" s="1" t="s">
        <v>244</v>
      </c>
      <c r="K39">
        <v>2018</v>
      </c>
    </row>
    <row r="40" spans="1:11" x14ac:dyDescent="0.3">
      <c r="A40">
        <v>39</v>
      </c>
      <c r="B40" s="1" t="s">
        <v>64</v>
      </c>
      <c r="C40" s="1" t="str">
        <f>VLOOKUP(_2018[[#This Row],[Country or region]],'2016'!$1:$1048576,2,FALSE)</f>
        <v>Central and Eastern Europe</v>
      </c>
      <c r="D40">
        <v>6.173</v>
      </c>
      <c r="E40">
        <v>1.21</v>
      </c>
      <c r="F40">
        <v>1.5369999999999999</v>
      </c>
      <c r="G40">
        <v>0.77600000000000002</v>
      </c>
      <c r="H40">
        <v>0.35399999999999998</v>
      </c>
      <c r="I40">
        <v>0.11799999999999999</v>
      </c>
      <c r="J40" s="1" t="s">
        <v>245</v>
      </c>
      <c r="K40">
        <v>2018</v>
      </c>
    </row>
    <row r="41" spans="1:11" x14ac:dyDescent="0.3">
      <c r="A41">
        <v>40</v>
      </c>
      <c r="B41" s="1" t="s">
        <v>61</v>
      </c>
      <c r="C41" s="1" t="str">
        <f>VLOOKUP(_2018[[#This Row],[Country or region]],'2016'!$1:$1048576,2,FALSE)</f>
        <v>Latin America and Caribbean</v>
      </c>
      <c r="D41">
        <v>6.1669999999999998</v>
      </c>
      <c r="E41">
        <v>0.80600000000000005</v>
      </c>
      <c r="F41">
        <v>1.2310000000000001</v>
      </c>
      <c r="G41">
        <v>0.63900000000000001</v>
      </c>
      <c r="H41">
        <v>0.46100000000000002</v>
      </c>
      <c r="I41">
        <v>6.5000000000000002E-2</v>
      </c>
      <c r="J41" s="1" t="s">
        <v>216</v>
      </c>
      <c r="K41">
        <v>2018</v>
      </c>
    </row>
    <row r="42" spans="1:11" x14ac:dyDescent="0.3">
      <c r="A42">
        <v>41</v>
      </c>
      <c r="B42" s="1" t="s">
        <v>76</v>
      </c>
      <c r="C42" s="1" t="str">
        <f>VLOOKUP(_2018[[#This Row],[Country or region]],'2016'!$1:$1048576,2,FALSE)</f>
        <v>Latin America and Caribbean</v>
      </c>
      <c r="D42">
        <v>6.141</v>
      </c>
      <c r="E42">
        <v>0.66800000000000004</v>
      </c>
      <c r="F42">
        <v>1.319</v>
      </c>
      <c r="G42">
        <v>0.7</v>
      </c>
      <c r="H42">
        <v>0.52700000000000002</v>
      </c>
      <c r="I42">
        <v>0.20799999999999999</v>
      </c>
      <c r="J42" s="1" t="s">
        <v>246</v>
      </c>
      <c r="K42">
        <v>2018</v>
      </c>
    </row>
    <row r="43" spans="1:11" x14ac:dyDescent="0.3">
      <c r="A43">
        <v>42</v>
      </c>
      <c r="B43" s="1" t="s">
        <v>79</v>
      </c>
      <c r="C43" s="1" t="str">
        <f>VLOOKUP(_2018[[#This Row],[Country or region]],'2016'!$1:$1048576,2,FALSE)</f>
        <v>Central and Eastern Europe</v>
      </c>
      <c r="D43">
        <v>6.1230000000000002</v>
      </c>
      <c r="E43">
        <v>1.1759999999999999</v>
      </c>
      <c r="F43">
        <v>1.448</v>
      </c>
      <c r="G43">
        <v>0.78100000000000003</v>
      </c>
      <c r="H43">
        <v>0.54600000000000004</v>
      </c>
      <c r="I43">
        <v>0.108</v>
      </c>
      <c r="J43" s="1" t="s">
        <v>247</v>
      </c>
      <c r="K43">
        <v>2018</v>
      </c>
    </row>
    <row r="44" spans="1:11" x14ac:dyDescent="0.3">
      <c r="A44">
        <v>43</v>
      </c>
      <c r="B44" s="1" t="s">
        <v>68</v>
      </c>
      <c r="C44" s="1" t="str">
        <f>VLOOKUP(_2018[[#This Row],[Country or region]],'2016'!$1:$1048576,2,FALSE)</f>
        <v>Middle East and Northern Africa</v>
      </c>
      <c r="D44">
        <v>6.1050000000000004</v>
      </c>
      <c r="E44">
        <v>1.3380000000000001</v>
      </c>
      <c r="F44">
        <v>1.3660000000000001</v>
      </c>
      <c r="G44">
        <v>0.69799999999999995</v>
      </c>
      <c r="H44">
        <v>0.59399999999999997</v>
      </c>
      <c r="I44">
        <v>0.24299999999999999</v>
      </c>
      <c r="J44" s="1" t="s">
        <v>248</v>
      </c>
      <c r="K44">
        <v>2018</v>
      </c>
    </row>
    <row r="45" spans="1:11" x14ac:dyDescent="0.3">
      <c r="A45">
        <v>44</v>
      </c>
      <c r="B45" s="1" t="s">
        <v>63</v>
      </c>
      <c r="C45" s="1" t="str">
        <f>VLOOKUP(_2018[[#This Row],[Country or region]],'2016'!$1:$1048576,2,FALSE)</f>
        <v>Central and Eastern Europe</v>
      </c>
      <c r="D45">
        <v>6.0960000000000001</v>
      </c>
      <c r="E45">
        <v>0.71899999999999997</v>
      </c>
      <c r="F45">
        <v>1.5840000000000001</v>
      </c>
      <c r="G45">
        <v>0.60499999999999998</v>
      </c>
      <c r="H45">
        <v>0.72399999999999998</v>
      </c>
      <c r="I45">
        <v>0.32800000000000001</v>
      </c>
      <c r="J45" s="1" t="s">
        <v>249</v>
      </c>
      <c r="K45">
        <v>2018</v>
      </c>
    </row>
    <row r="46" spans="1:11" x14ac:dyDescent="0.3">
      <c r="A46">
        <v>45</v>
      </c>
      <c r="B46" s="1" t="s">
        <v>58</v>
      </c>
      <c r="C46" s="1" t="str">
        <f>VLOOKUP(_2018[[#This Row],[Country or region]],'2016'!$1:$1048576,2,FALSE)</f>
        <v>Middle East and Northern Africa</v>
      </c>
      <c r="D46">
        <v>6.0830000000000002</v>
      </c>
      <c r="E46">
        <v>1.474</v>
      </c>
      <c r="F46">
        <v>1.3009999999999999</v>
      </c>
      <c r="G46">
        <v>0.67500000000000004</v>
      </c>
      <c r="H46">
        <v>0.55400000000000005</v>
      </c>
      <c r="I46">
        <v>0.16700000000000001</v>
      </c>
      <c r="J46" s="1" t="s">
        <v>250</v>
      </c>
      <c r="K46">
        <v>2018</v>
      </c>
    </row>
    <row r="47" spans="1:11" x14ac:dyDescent="0.3">
      <c r="A47">
        <v>46</v>
      </c>
      <c r="B47" s="1" t="s">
        <v>52</v>
      </c>
      <c r="C47" s="1" t="str">
        <f>VLOOKUP(_2018[[#This Row],[Country or region]],'2016'!$1:$1048576,2,FALSE)</f>
        <v>Southeastern Asia</v>
      </c>
      <c r="D47">
        <v>6.0720000000000001</v>
      </c>
      <c r="E47">
        <v>1.016</v>
      </c>
      <c r="F47">
        <v>1.417</v>
      </c>
      <c r="G47">
        <v>0.70699999999999996</v>
      </c>
      <c r="H47">
        <v>0.63700000000000001</v>
      </c>
      <c r="I47">
        <v>0.36399999999999999</v>
      </c>
      <c r="J47" s="1" t="s">
        <v>251</v>
      </c>
      <c r="K47">
        <v>2018</v>
      </c>
    </row>
    <row r="48" spans="1:11" x14ac:dyDescent="0.3">
      <c r="A48">
        <v>47</v>
      </c>
      <c r="B48" s="1" t="s">
        <v>69</v>
      </c>
      <c r="C48" s="1" t="str">
        <f>VLOOKUP(_2018[[#This Row],[Country or region]],'2016'!$1:$1048576,2,FALSE)</f>
        <v>Western Europe</v>
      </c>
      <c r="D48">
        <v>6</v>
      </c>
      <c r="E48">
        <v>1.264</v>
      </c>
      <c r="F48">
        <v>1.5009999999999999</v>
      </c>
      <c r="G48">
        <v>0.94599999999999995</v>
      </c>
      <c r="H48">
        <v>0.28100000000000003</v>
      </c>
      <c r="I48">
        <v>0.13700000000000001</v>
      </c>
      <c r="J48" s="1" t="s">
        <v>252</v>
      </c>
      <c r="K48">
        <v>2018</v>
      </c>
    </row>
    <row r="49" spans="1:11" x14ac:dyDescent="0.3">
      <c r="A49">
        <v>48</v>
      </c>
      <c r="B49" s="1" t="s">
        <v>67</v>
      </c>
      <c r="C49" s="1" t="str">
        <f>VLOOKUP(_2018[[#This Row],[Country or region]],'2016'!$1:$1048576,2,FALSE)</f>
        <v>Latin America and Caribbean</v>
      </c>
      <c r="D49">
        <v>5.9729999999999999</v>
      </c>
      <c r="E49">
        <v>0.88900000000000001</v>
      </c>
      <c r="F49">
        <v>1.33</v>
      </c>
      <c r="G49">
        <v>0.73599999999999999</v>
      </c>
      <c r="H49">
        <v>0.55600000000000005</v>
      </c>
      <c r="I49">
        <v>0.114</v>
      </c>
      <c r="J49" s="1" t="s">
        <v>253</v>
      </c>
      <c r="K49">
        <v>2018</v>
      </c>
    </row>
    <row r="50" spans="1:11" x14ac:dyDescent="0.3">
      <c r="A50">
        <v>49</v>
      </c>
      <c r="B50" s="1" t="s">
        <v>183</v>
      </c>
      <c r="C50" s="1" t="str">
        <f>VLOOKUP(_2018[[#This Row],[Country or region]],'2016'!$1:$1048576,2,FALSE)</f>
        <v>Latin America and Caribbean</v>
      </c>
      <c r="D50">
        <v>5.9560000000000004</v>
      </c>
      <c r="E50">
        <v>0.80700000000000005</v>
      </c>
      <c r="F50">
        <v>1.101</v>
      </c>
      <c r="G50">
        <v>0.47399999999999998</v>
      </c>
      <c r="H50">
        <v>0.59299999999999997</v>
      </c>
      <c r="I50">
        <v>0.183</v>
      </c>
      <c r="J50" s="1" t="s">
        <v>254</v>
      </c>
      <c r="K50">
        <v>2018</v>
      </c>
    </row>
    <row r="51" spans="1:11" x14ac:dyDescent="0.3">
      <c r="A51">
        <v>50</v>
      </c>
      <c r="B51" s="1" t="s">
        <v>75</v>
      </c>
      <c r="C51" s="1" t="str">
        <f>VLOOKUP(_2018[[#This Row],[Country or region]],'2016'!$1:$1048576,2,FALSE)</f>
        <v>Central and Eastern Europe</v>
      </c>
      <c r="D51">
        <v>5.952</v>
      </c>
      <c r="E51">
        <v>1.1970000000000001</v>
      </c>
      <c r="F51">
        <v>1.5269999999999999</v>
      </c>
      <c r="G51">
        <v>0.71599999999999997</v>
      </c>
      <c r="H51">
        <v>0.35</v>
      </c>
      <c r="I51">
        <v>2.5999999999999999E-2</v>
      </c>
      <c r="J51" s="1" t="s">
        <v>255</v>
      </c>
      <c r="K51">
        <v>2018</v>
      </c>
    </row>
    <row r="52" spans="1:11" x14ac:dyDescent="0.3">
      <c r="A52">
        <v>51</v>
      </c>
      <c r="B52" s="1" t="s">
        <v>74</v>
      </c>
      <c r="C52" s="1" t="str">
        <f>VLOOKUP(_2018[[#This Row],[Country or region]],'2016'!$1:$1048576,2,FALSE)</f>
        <v>Central and Eastern Europe</v>
      </c>
      <c r="D52">
        <v>5.9480000000000004</v>
      </c>
      <c r="E52">
        <v>1.2190000000000001</v>
      </c>
      <c r="F52">
        <v>1.506</v>
      </c>
      <c r="G52">
        <v>0.85599999999999998</v>
      </c>
      <c r="H52">
        <v>0.63300000000000001</v>
      </c>
      <c r="I52">
        <v>0.16</v>
      </c>
      <c r="J52" s="1" t="s">
        <v>256</v>
      </c>
      <c r="K52">
        <v>2018</v>
      </c>
    </row>
    <row r="53" spans="1:11" x14ac:dyDescent="0.3">
      <c r="A53">
        <v>52</v>
      </c>
      <c r="B53" s="1" t="s">
        <v>107</v>
      </c>
      <c r="C53" s="1" t="str">
        <f>VLOOKUP(_2018[[#This Row],[Country or region]],'2016'!$1:$1048576,2,FALSE)</f>
        <v>Central and Eastern Europe</v>
      </c>
      <c r="D53">
        <v>5.9450000000000003</v>
      </c>
      <c r="E53">
        <v>1.1160000000000001</v>
      </c>
      <c r="F53">
        <v>1.2190000000000001</v>
      </c>
      <c r="G53">
        <v>0.72599999999999998</v>
      </c>
      <c r="H53">
        <v>0.52800000000000002</v>
      </c>
      <c r="I53">
        <v>8.7999999999999995E-2</v>
      </c>
      <c r="J53" s="1" t="s">
        <v>257</v>
      </c>
      <c r="K53">
        <v>2018</v>
      </c>
    </row>
    <row r="54" spans="1:11" x14ac:dyDescent="0.3">
      <c r="A54">
        <v>53</v>
      </c>
      <c r="B54" s="1" t="s">
        <v>110</v>
      </c>
      <c r="C54" s="1" t="str">
        <f>VLOOKUP(_2018[[#This Row],[Country or region]],'2016'!$1:$1048576,2,FALSE)</f>
        <v>Central and Eastern Europe</v>
      </c>
      <c r="D54">
        <v>5.9329999999999998</v>
      </c>
      <c r="E54">
        <v>1.1479999999999999</v>
      </c>
      <c r="F54">
        <v>1.454</v>
      </c>
      <c r="G54">
        <v>0.67100000000000004</v>
      </c>
      <c r="H54">
        <v>0.36299999999999999</v>
      </c>
      <c r="I54">
        <v>9.1999999999999998E-2</v>
      </c>
      <c r="J54" s="1" t="s">
        <v>258</v>
      </c>
      <c r="K54">
        <v>2018</v>
      </c>
    </row>
    <row r="55" spans="1:11" x14ac:dyDescent="0.3">
      <c r="A55">
        <v>54</v>
      </c>
      <c r="B55" s="1" t="s">
        <v>65</v>
      </c>
      <c r="C55" s="1" t="str">
        <f>VLOOKUP(_2018[[#This Row],[Country or region]],'2016'!$1:$1048576,2,FALSE)</f>
        <v>Eastern Asia</v>
      </c>
      <c r="D55">
        <v>5.915</v>
      </c>
      <c r="E55">
        <v>1.294</v>
      </c>
      <c r="F55">
        <v>1.462</v>
      </c>
      <c r="G55">
        <v>0.98799999999999999</v>
      </c>
      <c r="H55">
        <v>0.55300000000000005</v>
      </c>
      <c r="I55">
        <v>7.9000000000000001E-2</v>
      </c>
      <c r="J55" s="1" t="s">
        <v>259</v>
      </c>
      <c r="K55">
        <v>2018</v>
      </c>
    </row>
    <row r="56" spans="1:11" x14ac:dyDescent="0.3">
      <c r="A56">
        <v>55</v>
      </c>
      <c r="B56" s="1" t="s">
        <v>90</v>
      </c>
      <c r="C56" s="1" t="str">
        <f>VLOOKUP(_2018[[#This Row],[Country or region]],'2016'!$1:$1048576,2,FALSE)</f>
        <v>Sub-Saharan Africa</v>
      </c>
      <c r="D56">
        <v>5.891</v>
      </c>
      <c r="E56">
        <v>1.0900000000000001</v>
      </c>
      <c r="F56">
        <v>1.387</v>
      </c>
      <c r="G56">
        <v>0.68400000000000005</v>
      </c>
      <c r="H56">
        <v>0.58399999999999996</v>
      </c>
      <c r="I56">
        <v>0.245</v>
      </c>
      <c r="J56" s="1" t="s">
        <v>260</v>
      </c>
      <c r="K56">
        <v>2018</v>
      </c>
    </row>
    <row r="57" spans="1:11" x14ac:dyDescent="0.3">
      <c r="A57">
        <v>56</v>
      </c>
      <c r="B57" s="1" t="s">
        <v>84</v>
      </c>
      <c r="C57" s="1" t="str">
        <f>VLOOKUP(_2018[[#This Row],[Country or region]],'2016'!$1:$1048576,2,FALSE)</f>
        <v>Latin America and Caribbean</v>
      </c>
      <c r="D57">
        <v>5.89</v>
      </c>
      <c r="E57">
        <v>0.81899999999999995</v>
      </c>
      <c r="F57">
        <v>1.4930000000000001</v>
      </c>
      <c r="G57">
        <v>0.69299999999999995</v>
      </c>
      <c r="H57">
        <v>0.57499999999999996</v>
      </c>
      <c r="I57">
        <v>9.6000000000000002E-2</v>
      </c>
      <c r="J57" s="1" t="s">
        <v>261</v>
      </c>
      <c r="K57">
        <v>2018</v>
      </c>
    </row>
    <row r="58" spans="1:11" x14ac:dyDescent="0.3">
      <c r="A58">
        <v>57</v>
      </c>
      <c r="B58" s="1" t="s">
        <v>66</v>
      </c>
      <c r="C58" s="1" t="str">
        <f>VLOOKUP(_2018[[#This Row],[Country or region]],'2016'!$1:$1048576,2,FALSE)</f>
        <v>Eastern Asia</v>
      </c>
      <c r="D58">
        <v>5.875</v>
      </c>
      <c r="E58">
        <v>1.266</v>
      </c>
      <c r="F58">
        <v>1.204</v>
      </c>
      <c r="G58">
        <v>0.95499999999999996</v>
      </c>
      <c r="H58">
        <v>0.24399999999999999</v>
      </c>
      <c r="I58">
        <v>0.17499999999999999</v>
      </c>
      <c r="J58" s="1" t="s">
        <v>256</v>
      </c>
      <c r="K58">
        <v>2018</v>
      </c>
    </row>
    <row r="59" spans="1:11" x14ac:dyDescent="0.3">
      <c r="A59">
        <v>58</v>
      </c>
      <c r="B59" s="1" t="s">
        <v>262</v>
      </c>
      <c r="C59" s="1" t="s">
        <v>13</v>
      </c>
      <c r="D59">
        <v>5.835</v>
      </c>
      <c r="E59">
        <v>1.2290000000000001</v>
      </c>
      <c r="F59">
        <v>1.2110000000000001</v>
      </c>
      <c r="G59">
        <v>0.90900000000000003</v>
      </c>
      <c r="H59">
        <v>0.495</v>
      </c>
      <c r="I59">
        <v>0.17899999999999999</v>
      </c>
      <c r="J59" s="1" t="s">
        <v>263</v>
      </c>
      <c r="K59">
        <v>2018</v>
      </c>
    </row>
    <row r="60" spans="1:11" x14ac:dyDescent="0.3">
      <c r="A60">
        <v>59</v>
      </c>
      <c r="B60" s="1" t="s">
        <v>83</v>
      </c>
      <c r="C60" s="1" t="str">
        <f>VLOOKUP(_2018[[#This Row],[Country or region]],'2016'!$1:$1048576,2,FALSE)</f>
        <v>Central and Eastern Europe</v>
      </c>
      <c r="D60">
        <v>5.81</v>
      </c>
      <c r="E60">
        <v>1.151</v>
      </c>
      <c r="F60">
        <v>1.4790000000000001</v>
      </c>
      <c r="G60">
        <v>0.59899999999999998</v>
      </c>
      <c r="H60">
        <v>0.39900000000000002</v>
      </c>
      <c r="I60">
        <v>6.5000000000000002E-2</v>
      </c>
      <c r="J60" s="1" t="s">
        <v>264</v>
      </c>
      <c r="K60">
        <v>2018</v>
      </c>
    </row>
    <row r="61" spans="1:11" x14ac:dyDescent="0.3">
      <c r="A61">
        <v>60</v>
      </c>
      <c r="B61" s="1" t="s">
        <v>73</v>
      </c>
      <c r="C61" s="1" t="str">
        <f>VLOOKUP(_2018[[#This Row],[Country or region]],'2016'!$1:$1048576,2,FALSE)</f>
        <v>Central and Eastern Europe</v>
      </c>
      <c r="D61">
        <v>5.79</v>
      </c>
      <c r="E61">
        <v>1.143</v>
      </c>
      <c r="F61">
        <v>1.516</v>
      </c>
      <c r="G61">
        <v>0.63100000000000001</v>
      </c>
      <c r="H61">
        <v>0.45400000000000001</v>
      </c>
      <c r="I61">
        <v>0.14799999999999999</v>
      </c>
      <c r="J61" s="1" t="s">
        <v>265</v>
      </c>
      <c r="K61">
        <v>2018</v>
      </c>
    </row>
    <row r="62" spans="1:11" x14ac:dyDescent="0.3">
      <c r="A62">
        <v>61</v>
      </c>
      <c r="B62" s="1" t="s">
        <v>86</v>
      </c>
      <c r="C62" s="1" t="str">
        <f>VLOOKUP(_2018[[#This Row],[Country or region]],'2016'!$1:$1048576,2,FALSE)</f>
        <v>Western Europe</v>
      </c>
      <c r="D62">
        <v>5.7619999999999996</v>
      </c>
      <c r="E62">
        <v>1.2290000000000001</v>
      </c>
      <c r="F62">
        <v>1.1910000000000001</v>
      </c>
      <c r="G62">
        <v>0.90900000000000003</v>
      </c>
      <c r="H62">
        <v>0.42299999999999999</v>
      </c>
      <c r="I62">
        <v>0.20200000000000001</v>
      </c>
      <c r="J62" s="1" t="s">
        <v>266</v>
      </c>
      <c r="K62">
        <v>2018</v>
      </c>
    </row>
    <row r="63" spans="1:11" x14ac:dyDescent="0.3">
      <c r="A63">
        <v>62</v>
      </c>
      <c r="B63" s="1" t="s">
        <v>70</v>
      </c>
      <c r="C63" s="1" t="str">
        <f>VLOOKUP(_2018[[#This Row],[Country or region]],'2016'!$1:$1048576,2,FALSE)</f>
        <v>Latin America and Caribbean</v>
      </c>
      <c r="D63">
        <v>5.7519999999999998</v>
      </c>
      <c r="E63">
        <v>0.751</v>
      </c>
      <c r="F63">
        <v>1.2230000000000001</v>
      </c>
      <c r="G63">
        <v>0.50800000000000001</v>
      </c>
      <c r="H63">
        <v>0.60599999999999998</v>
      </c>
      <c r="I63">
        <v>0.14099999999999999</v>
      </c>
      <c r="J63" s="1" t="s">
        <v>234</v>
      </c>
      <c r="K63">
        <v>2018</v>
      </c>
    </row>
    <row r="64" spans="1:11" x14ac:dyDescent="0.3">
      <c r="A64">
        <v>63</v>
      </c>
      <c r="B64" s="1" t="s">
        <v>93</v>
      </c>
      <c r="C64" s="1" t="str">
        <f>VLOOKUP(_2018[[#This Row],[Country or region]],'2016'!$1:$1048576,2,FALSE)</f>
        <v>Central and Eastern Europe</v>
      </c>
      <c r="D64">
        <v>5.7389999999999999</v>
      </c>
      <c r="E64">
        <v>1.2</v>
      </c>
      <c r="F64">
        <v>1.532</v>
      </c>
      <c r="G64">
        <v>0.73699999999999999</v>
      </c>
      <c r="H64">
        <v>0.55300000000000005</v>
      </c>
      <c r="I64">
        <v>8.5999999999999993E-2</v>
      </c>
      <c r="J64" s="1" t="s">
        <v>267</v>
      </c>
      <c r="K64">
        <v>2018</v>
      </c>
    </row>
    <row r="65" spans="1:11" x14ac:dyDescent="0.3">
      <c r="A65">
        <v>64</v>
      </c>
      <c r="B65" s="1" t="s">
        <v>72</v>
      </c>
      <c r="C65" s="1" t="str">
        <f>VLOOKUP(_2018[[#This Row],[Country or region]],'2016'!$1:$1048576,2,FALSE)</f>
        <v>Latin America and Caribbean</v>
      </c>
      <c r="D65">
        <v>5.681</v>
      </c>
      <c r="E65">
        <v>0.83499999999999996</v>
      </c>
      <c r="F65">
        <v>1.522</v>
      </c>
      <c r="G65">
        <v>0.61499999999999999</v>
      </c>
      <c r="H65">
        <v>0.54100000000000004</v>
      </c>
      <c r="I65">
        <v>0.16200000000000001</v>
      </c>
      <c r="J65" s="1" t="s">
        <v>241</v>
      </c>
      <c r="K65">
        <v>2018</v>
      </c>
    </row>
    <row r="66" spans="1:11" x14ac:dyDescent="0.3">
      <c r="A66">
        <v>65</v>
      </c>
      <c r="B66" s="1" t="s">
        <v>77</v>
      </c>
      <c r="C66" s="1" t="str">
        <f>VLOOKUP(_2018[[#This Row],[Country or region]],'2016'!$1:$1048576,2,FALSE)</f>
        <v>Latin America and Caribbean</v>
      </c>
      <c r="D66">
        <v>5.6630000000000003</v>
      </c>
      <c r="E66">
        <v>0.93400000000000005</v>
      </c>
      <c r="F66">
        <v>1.2490000000000001</v>
      </c>
      <c r="G66">
        <v>0.67400000000000004</v>
      </c>
      <c r="H66">
        <v>0.53</v>
      </c>
      <c r="I66">
        <v>9.1999999999999998E-2</v>
      </c>
      <c r="J66" s="1" t="s">
        <v>226</v>
      </c>
      <c r="K66">
        <v>2018</v>
      </c>
    </row>
    <row r="67" spans="1:11" x14ac:dyDescent="0.3">
      <c r="A67">
        <v>66</v>
      </c>
      <c r="B67" s="1" t="s">
        <v>88</v>
      </c>
      <c r="C67" s="1" t="str">
        <f>VLOOKUP(_2018[[#This Row],[Country or region]],'2016'!$1:$1048576,2,FALSE)</f>
        <v>Central and Eastern Europe</v>
      </c>
      <c r="D67">
        <v>5.6619999999999999</v>
      </c>
      <c r="E67">
        <v>0.85499999999999998</v>
      </c>
      <c r="F67">
        <v>1.23</v>
      </c>
      <c r="G67">
        <v>0.57799999999999996</v>
      </c>
      <c r="H67">
        <v>0.44800000000000001</v>
      </c>
      <c r="I67">
        <v>0.27400000000000002</v>
      </c>
      <c r="J67" s="1" t="s">
        <v>268</v>
      </c>
      <c r="K67">
        <v>2018</v>
      </c>
    </row>
    <row r="68" spans="1:11" x14ac:dyDescent="0.3">
      <c r="A68">
        <v>67</v>
      </c>
      <c r="B68" s="1" t="s">
        <v>71</v>
      </c>
      <c r="C68" s="1" t="str">
        <f>VLOOKUP(_2018[[#This Row],[Country or region]],'2016'!$1:$1048576,2,FALSE)</f>
        <v>Central and Eastern Europe</v>
      </c>
      <c r="D68">
        <v>5.64</v>
      </c>
      <c r="E68">
        <v>0.65700000000000003</v>
      </c>
      <c r="F68">
        <v>1.3009999999999999</v>
      </c>
      <c r="G68">
        <v>0.62</v>
      </c>
      <c r="H68">
        <v>0.23200000000000001</v>
      </c>
      <c r="I68">
        <v>0.17100000000000001</v>
      </c>
      <c r="J68" s="1" t="s">
        <v>269</v>
      </c>
      <c r="K68">
        <v>2018</v>
      </c>
    </row>
    <row r="69" spans="1:11" x14ac:dyDescent="0.3">
      <c r="A69">
        <v>68</v>
      </c>
      <c r="B69" s="1" t="s">
        <v>89</v>
      </c>
      <c r="C69" s="1" t="str">
        <f>VLOOKUP(_2018[[#This Row],[Country or region]],'2016'!$1:$1048576,2,FALSE)</f>
        <v>Central and Eastern Europe</v>
      </c>
      <c r="D69">
        <v>5.6360000000000001</v>
      </c>
      <c r="E69">
        <v>1.016</v>
      </c>
      <c r="F69">
        <v>1.5329999999999999</v>
      </c>
      <c r="G69">
        <v>0.51700000000000002</v>
      </c>
      <c r="H69">
        <v>0.41699999999999998</v>
      </c>
      <c r="I69">
        <v>0.19900000000000001</v>
      </c>
      <c r="J69" s="1" t="s">
        <v>270</v>
      </c>
      <c r="K69">
        <v>2018</v>
      </c>
    </row>
    <row r="70" spans="1:11" x14ac:dyDescent="0.3">
      <c r="A70">
        <v>69</v>
      </c>
      <c r="B70" s="1" t="s">
        <v>125</v>
      </c>
      <c r="C70" s="1" t="str">
        <f>VLOOKUP(_2018[[#This Row],[Country or region]],'2016'!$1:$1048576,2,FALSE)</f>
        <v>Central and Eastern Europe</v>
      </c>
      <c r="D70">
        <v>5.62</v>
      </c>
      <c r="E70">
        <v>1.171</v>
      </c>
      <c r="F70">
        <v>1.401</v>
      </c>
      <c r="G70">
        <v>0.73199999999999998</v>
      </c>
      <c r="H70">
        <v>0.25900000000000001</v>
      </c>
      <c r="I70">
        <v>6.0999999999999999E-2</v>
      </c>
      <c r="J70" s="1" t="s">
        <v>271</v>
      </c>
      <c r="K70">
        <v>2018</v>
      </c>
    </row>
    <row r="71" spans="1:11" x14ac:dyDescent="0.3">
      <c r="A71">
        <v>70</v>
      </c>
      <c r="B71" s="1" t="s">
        <v>82</v>
      </c>
      <c r="C71" s="1" t="str">
        <f>VLOOKUP(_2018[[#This Row],[Country or region]],'2016'!$1:$1048576,2,FALSE)</f>
        <v>Middle East and Northern Africa</v>
      </c>
      <c r="D71">
        <v>5.5659999999999998</v>
      </c>
      <c r="E71">
        <v>0.98499999999999999</v>
      </c>
      <c r="F71">
        <v>1.35</v>
      </c>
      <c r="G71">
        <v>0.55300000000000005</v>
      </c>
      <c r="H71">
        <v>0.496</v>
      </c>
      <c r="I71">
        <v>0.11600000000000001</v>
      </c>
      <c r="J71" s="1" t="s">
        <v>272</v>
      </c>
      <c r="K71">
        <v>2018</v>
      </c>
    </row>
    <row r="72" spans="1:11" x14ac:dyDescent="0.3">
      <c r="A72">
        <v>71</v>
      </c>
      <c r="B72" s="1" t="s">
        <v>111</v>
      </c>
      <c r="C72" s="1" t="str">
        <f>VLOOKUP(_2018[[#This Row],[Country or region]],'2016'!$1:$1048576,2,FALSE)</f>
        <v>Southeastern Asia</v>
      </c>
      <c r="D72">
        <v>5.524</v>
      </c>
      <c r="E72">
        <v>0.77500000000000002</v>
      </c>
      <c r="F72">
        <v>1.3120000000000001</v>
      </c>
      <c r="G72">
        <v>0.51300000000000001</v>
      </c>
      <c r="H72">
        <v>0.64300000000000002</v>
      </c>
      <c r="I72">
        <v>0.12</v>
      </c>
      <c r="J72" s="1" t="s">
        <v>273</v>
      </c>
      <c r="K72">
        <v>2018</v>
      </c>
    </row>
    <row r="73" spans="1:11" x14ac:dyDescent="0.3">
      <c r="A73">
        <v>72</v>
      </c>
      <c r="B73" s="1" t="s">
        <v>126</v>
      </c>
      <c r="C73" s="1" t="str">
        <f>VLOOKUP(_2018[[#This Row],[Country or region]],'2016'!$1:$1048576,2,FALSE)</f>
        <v>Latin America and Caribbean</v>
      </c>
      <c r="D73">
        <v>5.5039999999999996</v>
      </c>
      <c r="E73">
        <v>0.62</v>
      </c>
      <c r="F73">
        <v>1.2050000000000001</v>
      </c>
      <c r="G73">
        <v>0.622</v>
      </c>
      <c r="H73">
        <v>0.45900000000000002</v>
      </c>
      <c r="I73">
        <v>0.19700000000000001</v>
      </c>
      <c r="J73" s="1" t="s">
        <v>241</v>
      </c>
      <c r="K73">
        <v>2018</v>
      </c>
    </row>
    <row r="74" spans="1:11" x14ac:dyDescent="0.3">
      <c r="A74">
        <v>73</v>
      </c>
      <c r="B74" s="1" t="s">
        <v>78</v>
      </c>
      <c r="C74" s="1" t="str">
        <f>VLOOKUP(_2018[[#This Row],[Country or region]],'2016'!$1:$1048576,2,FALSE)</f>
        <v>Central and Eastern Europe</v>
      </c>
      <c r="D74">
        <v>5.4829999999999997</v>
      </c>
      <c r="E74">
        <v>1.0389999999999999</v>
      </c>
      <c r="F74">
        <v>1.498</v>
      </c>
      <c r="G74">
        <v>0.7</v>
      </c>
      <c r="H74">
        <v>0.307</v>
      </c>
      <c r="I74">
        <v>0.10100000000000001</v>
      </c>
      <c r="J74" s="1" t="s">
        <v>263</v>
      </c>
      <c r="K74">
        <v>2018</v>
      </c>
    </row>
    <row r="75" spans="1:11" x14ac:dyDescent="0.3">
      <c r="A75">
        <v>74</v>
      </c>
      <c r="B75" s="1" t="s">
        <v>96</v>
      </c>
      <c r="C75" s="1" t="str">
        <f>VLOOKUP(_2018[[#This Row],[Country or region]],'2016'!$1:$1048576,2,FALSE)</f>
        <v>Middle East and Northern Africa</v>
      </c>
      <c r="D75">
        <v>5.4829999999999997</v>
      </c>
      <c r="E75">
        <v>1.1479999999999999</v>
      </c>
      <c r="F75">
        <v>1.38</v>
      </c>
      <c r="G75">
        <v>0.68600000000000005</v>
      </c>
      <c r="H75">
        <v>0.32400000000000001</v>
      </c>
      <c r="I75">
        <v>0.106</v>
      </c>
      <c r="J75" s="1" t="s">
        <v>274</v>
      </c>
      <c r="K75">
        <v>2018</v>
      </c>
    </row>
    <row r="76" spans="1:11" x14ac:dyDescent="0.3">
      <c r="A76">
        <v>75</v>
      </c>
      <c r="B76" s="1" t="s">
        <v>102</v>
      </c>
      <c r="C76" s="1" t="str">
        <f>VLOOKUP(_2018[[#This Row],[Country or region]],'2016'!$1:$1048576,2,FALSE)</f>
        <v>Southern Asia</v>
      </c>
      <c r="D76">
        <v>5.4720000000000004</v>
      </c>
      <c r="E76">
        <v>0.65200000000000002</v>
      </c>
      <c r="F76">
        <v>0.81</v>
      </c>
      <c r="G76">
        <v>0.42399999999999999</v>
      </c>
      <c r="H76">
        <v>0.33400000000000002</v>
      </c>
      <c r="I76">
        <v>0.216</v>
      </c>
      <c r="J76" s="1" t="s">
        <v>275</v>
      </c>
      <c r="K76">
        <v>2018</v>
      </c>
    </row>
    <row r="77" spans="1:11" x14ac:dyDescent="0.3">
      <c r="A77">
        <v>76</v>
      </c>
      <c r="B77" s="1" t="s">
        <v>92</v>
      </c>
      <c r="C77" s="1" t="str">
        <f>VLOOKUP(_2018[[#This Row],[Country or region]],'2016'!$1:$1048576,2,FALSE)</f>
        <v>Eastern Asia</v>
      </c>
      <c r="D77">
        <v>5.43</v>
      </c>
      <c r="E77">
        <v>1.405</v>
      </c>
      <c r="F77">
        <v>1.29</v>
      </c>
      <c r="G77">
        <v>1.03</v>
      </c>
      <c r="H77">
        <v>0.52400000000000002</v>
      </c>
      <c r="I77">
        <v>0.246</v>
      </c>
      <c r="J77" s="1" t="s">
        <v>212</v>
      </c>
      <c r="K77">
        <v>2018</v>
      </c>
    </row>
    <row r="78" spans="1:11" x14ac:dyDescent="0.3">
      <c r="A78">
        <v>77</v>
      </c>
      <c r="B78" s="1" t="s">
        <v>109</v>
      </c>
      <c r="C78" s="1" t="str">
        <f>VLOOKUP(_2018[[#This Row],[Country or region]],'2016'!$1:$1048576,2,FALSE)</f>
        <v>Western Europe</v>
      </c>
      <c r="D78">
        <v>5.41</v>
      </c>
      <c r="E78">
        <v>1.1879999999999999</v>
      </c>
      <c r="F78">
        <v>1.429</v>
      </c>
      <c r="G78">
        <v>0.88400000000000001</v>
      </c>
      <c r="H78">
        <v>0.56200000000000006</v>
      </c>
      <c r="I78">
        <v>5.5E-2</v>
      </c>
      <c r="J78" s="1" t="s">
        <v>276</v>
      </c>
      <c r="K78">
        <v>2018</v>
      </c>
    </row>
    <row r="79" spans="1:11" x14ac:dyDescent="0.3">
      <c r="A79">
        <v>78</v>
      </c>
      <c r="B79" s="1" t="s">
        <v>108</v>
      </c>
      <c r="C79" s="1" t="str">
        <f>VLOOKUP(_2018[[#This Row],[Country or region]],'2016'!$1:$1048576,2,FALSE)</f>
        <v>Central and Eastern Europe</v>
      </c>
      <c r="D79">
        <v>5.3979999999999997</v>
      </c>
      <c r="E79">
        <v>0.97499999999999998</v>
      </c>
      <c r="F79">
        <v>1.369</v>
      </c>
      <c r="G79">
        <v>0.68500000000000005</v>
      </c>
      <c r="H79">
        <v>0.28799999999999998</v>
      </c>
      <c r="I79">
        <v>0.13400000000000001</v>
      </c>
      <c r="J79" s="1" t="s">
        <v>277</v>
      </c>
      <c r="K79">
        <v>2018</v>
      </c>
    </row>
    <row r="80" spans="1:11" x14ac:dyDescent="0.3">
      <c r="A80">
        <v>79</v>
      </c>
      <c r="B80" s="1" t="s">
        <v>123</v>
      </c>
      <c r="C80" s="1" t="str">
        <f>VLOOKUP(_2018[[#This Row],[Country or region]],'2016'!$1:$1048576,2,FALSE)</f>
        <v>Western Europe</v>
      </c>
      <c r="D80">
        <v>5.3579999999999997</v>
      </c>
      <c r="E80">
        <v>1.1539999999999999</v>
      </c>
      <c r="F80">
        <v>1.202</v>
      </c>
      <c r="G80">
        <v>0.879</v>
      </c>
      <c r="H80">
        <v>0.13100000000000001</v>
      </c>
      <c r="I80">
        <v>0</v>
      </c>
      <c r="J80" s="1" t="s">
        <v>278</v>
      </c>
      <c r="K80">
        <v>2018</v>
      </c>
    </row>
    <row r="81" spans="1:11" x14ac:dyDescent="0.3">
      <c r="A81">
        <v>80</v>
      </c>
      <c r="B81" s="1" t="s">
        <v>124</v>
      </c>
      <c r="C81" s="1" t="str">
        <f>VLOOKUP(_2018[[#This Row],[Country or region]],'2016'!$1:$1048576,2,FALSE)</f>
        <v>Middle East and Northern Africa</v>
      </c>
      <c r="D81">
        <v>5.3579999999999997</v>
      </c>
      <c r="E81">
        <v>0.96499999999999997</v>
      </c>
      <c r="F81">
        <v>1.179</v>
      </c>
      <c r="G81">
        <v>0.78500000000000003</v>
      </c>
      <c r="H81">
        <v>0.503</v>
      </c>
      <c r="I81">
        <v>0.214</v>
      </c>
      <c r="J81" s="1" t="s">
        <v>279</v>
      </c>
      <c r="K81">
        <v>2018</v>
      </c>
    </row>
    <row r="82" spans="1:11" x14ac:dyDescent="0.3">
      <c r="A82">
        <v>81</v>
      </c>
      <c r="B82" s="1" t="s">
        <v>104</v>
      </c>
      <c r="C82" s="1" t="str">
        <f>VLOOKUP(_2018[[#This Row],[Country or region]],'2016'!$1:$1048576,2,FALSE)</f>
        <v>Central and Eastern Europe</v>
      </c>
      <c r="D82">
        <v>5.3470000000000004</v>
      </c>
      <c r="E82">
        <v>1.0169999999999999</v>
      </c>
      <c r="F82">
        <v>1.2789999999999999</v>
      </c>
      <c r="G82">
        <v>0.72899999999999998</v>
      </c>
      <c r="H82">
        <v>0.25900000000000001</v>
      </c>
      <c r="I82">
        <v>0.111</v>
      </c>
      <c r="J82" s="1" t="s">
        <v>280</v>
      </c>
      <c r="K82">
        <v>2018</v>
      </c>
    </row>
    <row r="83" spans="1:11" x14ac:dyDescent="0.3">
      <c r="A83">
        <v>82</v>
      </c>
      <c r="B83" s="1" t="s">
        <v>81</v>
      </c>
      <c r="C83" s="1" t="str">
        <f>VLOOKUP(_2018[[#This Row],[Country or region]],'2016'!$1:$1048576,2,FALSE)</f>
        <v>Central and Eastern Europe</v>
      </c>
      <c r="D83">
        <v>5.3209999999999997</v>
      </c>
      <c r="E83">
        <v>1.115</v>
      </c>
      <c r="F83">
        <v>1.161</v>
      </c>
      <c r="G83">
        <v>0.73699999999999999</v>
      </c>
      <c r="H83">
        <v>0.38</v>
      </c>
      <c r="I83">
        <v>0.12</v>
      </c>
      <c r="J83" s="1" t="s">
        <v>242</v>
      </c>
      <c r="K83">
        <v>2018</v>
      </c>
    </row>
    <row r="84" spans="1:11" x14ac:dyDescent="0.3">
      <c r="A84">
        <v>83</v>
      </c>
      <c r="B84" s="1" t="s">
        <v>119</v>
      </c>
      <c r="C84" s="1" t="str">
        <f>VLOOKUP(_2018[[#This Row],[Country or region]],'2016'!$1:$1048576,2,FALSE)</f>
        <v>Latin America and Caribbean</v>
      </c>
      <c r="D84">
        <v>5.3019999999999996</v>
      </c>
      <c r="E84">
        <v>0.98199999999999998</v>
      </c>
      <c r="F84">
        <v>1.4410000000000001</v>
      </c>
      <c r="G84">
        <v>0.61399999999999999</v>
      </c>
      <c r="H84">
        <v>0.57799999999999996</v>
      </c>
      <c r="I84">
        <v>0.12</v>
      </c>
      <c r="J84" s="1" t="s">
        <v>250</v>
      </c>
      <c r="K84">
        <v>2018</v>
      </c>
    </row>
    <row r="85" spans="1:11" x14ac:dyDescent="0.3">
      <c r="A85">
        <v>84</v>
      </c>
      <c r="B85" s="1" t="s">
        <v>87</v>
      </c>
      <c r="C85" s="1" t="str">
        <f>VLOOKUP(_2018[[#This Row],[Country or region]],'2016'!$1:$1048576,2,FALSE)</f>
        <v>Middle East and Northern Africa</v>
      </c>
      <c r="D85">
        <v>5.2949999999999999</v>
      </c>
      <c r="E85">
        <v>0.97899999999999998</v>
      </c>
      <c r="F85">
        <v>1.1539999999999999</v>
      </c>
      <c r="G85">
        <v>0.68700000000000006</v>
      </c>
      <c r="H85">
        <v>7.6999999999999999E-2</v>
      </c>
      <c r="I85">
        <v>5.5E-2</v>
      </c>
      <c r="J85" s="1" t="s">
        <v>281</v>
      </c>
      <c r="K85">
        <v>2018</v>
      </c>
    </row>
    <row r="86" spans="1:11" x14ac:dyDescent="0.3">
      <c r="A86">
        <v>85</v>
      </c>
      <c r="B86" s="1" t="s">
        <v>113</v>
      </c>
      <c r="C86" s="1" t="str">
        <f>VLOOKUP(_2018[[#This Row],[Country or region]],'2016'!$1:$1048576,2,FALSE)</f>
        <v>Middle East and Northern Africa</v>
      </c>
      <c r="D86">
        <v>5.2539999999999996</v>
      </c>
      <c r="E86">
        <v>0.77900000000000003</v>
      </c>
      <c r="F86">
        <v>0.79700000000000004</v>
      </c>
      <c r="G86">
        <v>0.66900000000000004</v>
      </c>
      <c r="H86">
        <v>0.46</v>
      </c>
      <c r="I86">
        <v>2.5999999999999999E-2</v>
      </c>
      <c r="J86" s="1" t="s">
        <v>241</v>
      </c>
      <c r="K86">
        <v>2018</v>
      </c>
    </row>
    <row r="87" spans="1:11" x14ac:dyDescent="0.3">
      <c r="A87">
        <v>86</v>
      </c>
      <c r="B87" s="1" t="s">
        <v>105</v>
      </c>
      <c r="C87" s="1" t="str">
        <f>VLOOKUP(_2018[[#This Row],[Country or region]],'2016'!$1:$1048576,2,FALSE)</f>
        <v>Eastern Asia</v>
      </c>
      <c r="D87">
        <v>5.2460000000000004</v>
      </c>
      <c r="E87">
        <v>0.98899999999999999</v>
      </c>
      <c r="F87">
        <v>1.1419999999999999</v>
      </c>
      <c r="G87">
        <v>0.79900000000000004</v>
      </c>
      <c r="H87">
        <v>0.59699999999999998</v>
      </c>
      <c r="I87">
        <v>2.9000000000000001E-2</v>
      </c>
      <c r="J87" s="1" t="s">
        <v>282</v>
      </c>
      <c r="K87">
        <v>2018</v>
      </c>
    </row>
    <row r="88" spans="1:11" x14ac:dyDescent="0.3">
      <c r="A88">
        <v>87</v>
      </c>
      <c r="B88" s="1" t="s">
        <v>101</v>
      </c>
      <c r="C88" s="1" t="str">
        <f>VLOOKUP(_2018[[#This Row],[Country or region]],'2016'!$1:$1048576,2,FALSE)</f>
        <v>Central and Eastern Europe</v>
      </c>
      <c r="D88">
        <v>5.2009999999999996</v>
      </c>
      <c r="E88">
        <v>1.024</v>
      </c>
      <c r="F88">
        <v>1.161</v>
      </c>
      <c r="G88">
        <v>0.60299999999999998</v>
      </c>
      <c r="H88">
        <v>0.43</v>
      </c>
      <c r="I88">
        <v>3.1E-2</v>
      </c>
      <c r="J88" s="1" t="s">
        <v>228</v>
      </c>
      <c r="K88">
        <v>2018</v>
      </c>
    </row>
    <row r="89" spans="1:11" x14ac:dyDescent="0.3">
      <c r="A89">
        <v>88</v>
      </c>
      <c r="B89" s="1" t="s">
        <v>127</v>
      </c>
      <c r="C89" s="1" t="str">
        <f>VLOOKUP(_2018[[#This Row],[Country or region]],'2016'!$1:$1048576,2,FALSE)</f>
        <v>Central and Eastern Europe</v>
      </c>
      <c r="D89">
        <v>5.1989999999999998</v>
      </c>
      <c r="E89">
        <v>0.47399999999999998</v>
      </c>
      <c r="F89">
        <v>1.1659999999999999</v>
      </c>
      <c r="G89">
        <v>0.59799999999999998</v>
      </c>
      <c r="H89">
        <v>0.29199999999999998</v>
      </c>
      <c r="I89">
        <v>0.187</v>
      </c>
      <c r="J89" s="1" t="s">
        <v>226</v>
      </c>
      <c r="K89">
        <v>2018</v>
      </c>
    </row>
    <row r="90" spans="1:11" x14ac:dyDescent="0.3">
      <c r="A90">
        <v>89</v>
      </c>
      <c r="B90" s="1" t="s">
        <v>114</v>
      </c>
      <c r="C90" s="1" t="str">
        <f>VLOOKUP(_2018[[#This Row],[Country or region]],'2016'!$1:$1048576,2,FALSE)</f>
        <v>Central and Eastern Europe</v>
      </c>
      <c r="D90">
        <v>5.1849999999999996</v>
      </c>
      <c r="E90">
        <v>0.95899999999999996</v>
      </c>
      <c r="F90">
        <v>1.2390000000000001</v>
      </c>
      <c r="G90">
        <v>0.69099999999999995</v>
      </c>
      <c r="H90">
        <v>0.39400000000000002</v>
      </c>
      <c r="I90">
        <v>0.17299999999999999</v>
      </c>
      <c r="J90" s="1" t="s">
        <v>283</v>
      </c>
      <c r="K90">
        <v>2018</v>
      </c>
    </row>
    <row r="91" spans="1:11" x14ac:dyDescent="0.3">
      <c r="A91">
        <v>90</v>
      </c>
      <c r="B91" s="1" t="s">
        <v>103</v>
      </c>
      <c r="C91" s="1" t="str">
        <f>VLOOKUP(_2018[[#This Row],[Country or region]],'2016'!$1:$1048576,2,FALSE)</f>
        <v>Middle East and Northern Africa</v>
      </c>
      <c r="D91">
        <v>5.1609999999999996</v>
      </c>
      <c r="E91">
        <v>0.82199999999999995</v>
      </c>
      <c r="F91">
        <v>1.2649999999999999</v>
      </c>
      <c r="G91">
        <v>0.64500000000000002</v>
      </c>
      <c r="H91">
        <v>0.46800000000000003</v>
      </c>
      <c r="I91">
        <v>0.13</v>
      </c>
      <c r="J91" s="1" t="s">
        <v>284</v>
      </c>
      <c r="K91">
        <v>2018</v>
      </c>
    </row>
    <row r="92" spans="1:11" x14ac:dyDescent="0.3">
      <c r="A92">
        <v>91</v>
      </c>
      <c r="B92" s="1" t="s">
        <v>98</v>
      </c>
      <c r="C92" s="1" t="str">
        <f>VLOOKUP(_2018[[#This Row],[Country or region]],'2016'!$1:$1048576,2,FALSE)</f>
        <v>Sub-Saharan Africa</v>
      </c>
      <c r="D92">
        <v>5.1550000000000002</v>
      </c>
      <c r="E92">
        <v>0.68899999999999995</v>
      </c>
      <c r="F92">
        <v>1.1719999999999999</v>
      </c>
      <c r="G92">
        <v>4.8000000000000001E-2</v>
      </c>
      <c r="H92">
        <v>0.46200000000000002</v>
      </c>
      <c r="I92">
        <v>0.20100000000000001</v>
      </c>
      <c r="J92" s="1" t="s">
        <v>285</v>
      </c>
      <c r="K92">
        <v>2018</v>
      </c>
    </row>
    <row r="93" spans="1:11" x14ac:dyDescent="0.3">
      <c r="A93">
        <v>92</v>
      </c>
      <c r="B93" s="1" t="s">
        <v>97</v>
      </c>
      <c r="C93" s="1" t="str">
        <f>VLOOKUP(_2018[[#This Row],[Country or region]],'2016'!$1:$1048576,2,FALSE)</f>
        <v>Central and Eastern Europe</v>
      </c>
      <c r="D93">
        <v>5.1310000000000002</v>
      </c>
      <c r="E93">
        <v>0.53</v>
      </c>
      <c r="F93">
        <v>1.4159999999999999</v>
      </c>
      <c r="G93">
        <v>0.59399999999999997</v>
      </c>
      <c r="H93">
        <v>0.54</v>
      </c>
      <c r="I93">
        <v>0.28100000000000003</v>
      </c>
      <c r="J93" s="1" t="s">
        <v>266</v>
      </c>
      <c r="K93">
        <v>2018</v>
      </c>
    </row>
    <row r="94" spans="1:11" x14ac:dyDescent="0.3">
      <c r="A94">
        <v>93</v>
      </c>
      <c r="B94" s="1" t="s">
        <v>117</v>
      </c>
      <c r="C94" s="1" t="str">
        <f>VLOOKUP(_2018[[#This Row],[Country or region]],'2016'!$1:$1048576,2,FALSE)</f>
        <v>Central and Eastern Europe</v>
      </c>
      <c r="D94">
        <v>5.1289999999999996</v>
      </c>
      <c r="E94">
        <v>0.91500000000000004</v>
      </c>
      <c r="F94">
        <v>1.0780000000000001</v>
      </c>
      <c r="G94">
        <v>0.75800000000000001</v>
      </c>
      <c r="H94">
        <v>0.28000000000000003</v>
      </c>
      <c r="I94">
        <v>0.216</v>
      </c>
      <c r="J94" s="1" t="s">
        <v>269</v>
      </c>
      <c r="K94">
        <v>2018</v>
      </c>
    </row>
    <row r="95" spans="1:11" x14ac:dyDescent="0.3">
      <c r="A95">
        <v>94</v>
      </c>
      <c r="B95" s="1" t="s">
        <v>121</v>
      </c>
      <c r="C95" s="1" t="str">
        <f>VLOOKUP(_2018[[#This Row],[Country or region]],'2016'!$1:$1048576,2,FALSE)</f>
        <v>Eastern Asia</v>
      </c>
      <c r="D95">
        <v>5.125</v>
      </c>
      <c r="E95">
        <v>0.91400000000000003</v>
      </c>
      <c r="F95">
        <v>1.5169999999999999</v>
      </c>
      <c r="G95">
        <v>0.57499999999999996</v>
      </c>
      <c r="H95">
        <v>0.39500000000000002</v>
      </c>
      <c r="I95">
        <v>0.253</v>
      </c>
      <c r="J95" s="1" t="s">
        <v>285</v>
      </c>
      <c r="K95">
        <v>2018</v>
      </c>
    </row>
    <row r="96" spans="1:11" x14ac:dyDescent="0.3">
      <c r="A96">
        <v>95</v>
      </c>
      <c r="B96" s="1" t="s">
        <v>95</v>
      </c>
      <c r="C96" s="1" t="str">
        <f>VLOOKUP(_2018[[#This Row],[Country or region]],'2016'!$1:$1048576,2,FALSE)</f>
        <v>Southeastern Asia</v>
      </c>
      <c r="D96">
        <v>5.1029999999999998</v>
      </c>
      <c r="E96">
        <v>0.71499999999999997</v>
      </c>
      <c r="F96">
        <v>1.365</v>
      </c>
      <c r="G96">
        <v>0.70199999999999996</v>
      </c>
      <c r="H96">
        <v>0.61799999999999999</v>
      </c>
      <c r="I96">
        <v>0.17699999999999999</v>
      </c>
      <c r="J96" s="1" t="s">
        <v>286</v>
      </c>
      <c r="K96">
        <v>2018</v>
      </c>
    </row>
    <row r="97" spans="1:11" x14ac:dyDescent="0.3">
      <c r="A97">
        <v>96</v>
      </c>
      <c r="B97" s="1" t="s">
        <v>94</v>
      </c>
      <c r="C97" s="1" t="str">
        <f>VLOOKUP(_2018[[#This Row],[Country or region]],'2016'!$1:$1048576,2,FALSE)</f>
        <v>Southeastern Asia</v>
      </c>
      <c r="D97">
        <v>5.093</v>
      </c>
      <c r="E97">
        <v>0.89900000000000002</v>
      </c>
      <c r="F97">
        <v>1.2150000000000001</v>
      </c>
      <c r="G97">
        <v>0.52200000000000002</v>
      </c>
      <c r="H97">
        <v>0.53800000000000003</v>
      </c>
      <c r="I97">
        <v>0.48399999999999999</v>
      </c>
      <c r="J97" s="1" t="s">
        <v>287</v>
      </c>
      <c r="K97">
        <v>2018</v>
      </c>
    </row>
    <row r="98" spans="1:11" x14ac:dyDescent="0.3">
      <c r="A98">
        <v>97</v>
      </c>
      <c r="B98" s="1" t="s">
        <v>99</v>
      </c>
      <c r="C98" s="1" t="str">
        <f>VLOOKUP(_2018[[#This Row],[Country or region]],'2016'!$1:$1048576,2,FALSE)</f>
        <v>Southern Asia</v>
      </c>
      <c r="D98">
        <v>5.0819999999999999</v>
      </c>
      <c r="E98">
        <v>0.79600000000000004</v>
      </c>
      <c r="F98">
        <v>1.335</v>
      </c>
      <c r="G98">
        <v>0.52700000000000002</v>
      </c>
      <c r="H98">
        <v>0.54100000000000004</v>
      </c>
      <c r="I98">
        <v>0.36399999999999999</v>
      </c>
      <c r="J98" s="1" t="s">
        <v>237</v>
      </c>
      <c r="K98">
        <v>2018</v>
      </c>
    </row>
    <row r="99" spans="1:11" x14ac:dyDescent="0.3">
      <c r="A99">
        <v>98</v>
      </c>
      <c r="B99" s="1" t="s">
        <v>184</v>
      </c>
      <c r="C99" s="1" t="str">
        <f>VLOOKUP(_2018[[#This Row],[Country or region]],'2016'!$1:$1048576,2,FALSE)</f>
        <v>Sub-Saharan Africa</v>
      </c>
      <c r="D99">
        <v>4.9820000000000002</v>
      </c>
      <c r="E99">
        <v>0</v>
      </c>
      <c r="F99">
        <v>0.71199999999999997</v>
      </c>
      <c r="G99">
        <v>0.115</v>
      </c>
      <c r="H99">
        <v>0.67400000000000004</v>
      </c>
      <c r="I99">
        <v>0.23799999999999999</v>
      </c>
      <c r="J99" s="1" t="s">
        <v>288</v>
      </c>
      <c r="K99">
        <v>2018</v>
      </c>
    </row>
    <row r="100" spans="1:11" x14ac:dyDescent="0.3">
      <c r="A100">
        <v>99</v>
      </c>
      <c r="B100" s="1" t="s">
        <v>154</v>
      </c>
      <c r="C100" s="1" t="str">
        <f>VLOOKUP(_2018[[#This Row],[Country or region]],'2016'!$1:$1048576,2,FALSE)</f>
        <v>Sub-Saharan Africa</v>
      </c>
      <c r="D100">
        <v>4.9749999999999996</v>
      </c>
      <c r="E100">
        <v>0.53500000000000003</v>
      </c>
      <c r="F100">
        <v>0.89100000000000001</v>
      </c>
      <c r="G100">
        <v>0.182</v>
      </c>
      <c r="H100">
        <v>0.45400000000000001</v>
      </c>
      <c r="I100">
        <v>0.183</v>
      </c>
      <c r="J100" s="1" t="s">
        <v>277</v>
      </c>
      <c r="K100">
        <v>2018</v>
      </c>
    </row>
    <row r="101" spans="1:11" x14ac:dyDescent="0.3">
      <c r="A101">
        <v>100</v>
      </c>
      <c r="B101" s="1" t="s">
        <v>155</v>
      </c>
      <c r="C101" s="1" t="str">
        <f>VLOOKUP(_2018[[#This Row],[Country or region]],'2016'!$1:$1048576,2,FALSE)</f>
        <v>Central and Eastern Europe</v>
      </c>
      <c r="D101">
        <v>4.9329999999999998</v>
      </c>
      <c r="E101">
        <v>1.054</v>
      </c>
      <c r="F101">
        <v>1.5149999999999999</v>
      </c>
      <c r="G101">
        <v>0.71199999999999997</v>
      </c>
      <c r="H101">
        <v>0.35899999999999999</v>
      </c>
      <c r="I101">
        <v>6.4000000000000001E-2</v>
      </c>
      <c r="J101" s="1" t="s">
        <v>289</v>
      </c>
      <c r="K101">
        <v>2018</v>
      </c>
    </row>
    <row r="102" spans="1:11" x14ac:dyDescent="0.3">
      <c r="A102">
        <v>101</v>
      </c>
      <c r="B102" s="1" t="s">
        <v>142</v>
      </c>
      <c r="C102" s="1" t="str">
        <f>VLOOKUP(_2018[[#This Row],[Country or region]],'2016'!$1:$1048576,2,FALSE)</f>
        <v>Southern Asia</v>
      </c>
      <c r="D102">
        <v>4.88</v>
      </c>
      <c r="E102">
        <v>0.42499999999999999</v>
      </c>
      <c r="F102">
        <v>1.228</v>
      </c>
      <c r="G102">
        <v>0.53900000000000003</v>
      </c>
      <c r="H102">
        <v>0.52600000000000002</v>
      </c>
      <c r="I102">
        <v>0.30199999999999999</v>
      </c>
      <c r="J102" s="1" t="s">
        <v>231</v>
      </c>
      <c r="K102">
        <v>2018</v>
      </c>
    </row>
    <row r="103" spans="1:11" x14ac:dyDescent="0.3">
      <c r="A103">
        <v>102</v>
      </c>
      <c r="B103" s="1" t="s">
        <v>39</v>
      </c>
      <c r="C103" s="1" t="str">
        <f>VLOOKUP(_2018[[#This Row],[Country or region]],'2016'!$1:$1048576,2,FALSE)</f>
        <v>Latin America and Caribbean</v>
      </c>
      <c r="D103">
        <v>4.806</v>
      </c>
      <c r="E103">
        <v>0.996</v>
      </c>
      <c r="F103">
        <v>1.4690000000000001</v>
      </c>
      <c r="G103">
        <v>0.65700000000000003</v>
      </c>
      <c r="H103">
        <v>0.13300000000000001</v>
      </c>
      <c r="I103">
        <v>5.6000000000000001E-2</v>
      </c>
      <c r="J103" s="1" t="s">
        <v>283</v>
      </c>
      <c r="K103">
        <v>2018</v>
      </c>
    </row>
    <row r="104" spans="1:11" x14ac:dyDescent="0.3">
      <c r="A104">
        <v>103</v>
      </c>
      <c r="B104" s="1" t="s">
        <v>164</v>
      </c>
      <c r="C104" s="1" t="str">
        <f>VLOOKUP(_2018[[#This Row],[Country or region]],'2016'!$1:$1048576,2,FALSE)</f>
        <v>Sub-Saharan Africa</v>
      </c>
      <c r="D104">
        <v>4.758</v>
      </c>
      <c r="E104">
        <v>1.036</v>
      </c>
      <c r="F104">
        <v>1.1639999999999999</v>
      </c>
      <c r="G104">
        <v>0.40400000000000003</v>
      </c>
      <c r="H104">
        <v>0.35599999999999998</v>
      </c>
      <c r="I104">
        <v>3.2000000000000001E-2</v>
      </c>
      <c r="J104" s="1" t="s">
        <v>283</v>
      </c>
      <c r="K104">
        <v>2018</v>
      </c>
    </row>
    <row r="105" spans="1:11" x14ac:dyDescent="0.3">
      <c r="A105">
        <v>104</v>
      </c>
      <c r="B105" s="1" t="s">
        <v>129</v>
      </c>
      <c r="C105" s="1" t="str">
        <f>VLOOKUP(_2018[[#This Row],[Country or region]],'2016'!$1:$1048576,2,FALSE)</f>
        <v>Middle East and Northern Africa</v>
      </c>
      <c r="D105">
        <v>4.7430000000000003</v>
      </c>
      <c r="E105">
        <v>0.64200000000000002</v>
      </c>
      <c r="F105">
        <v>1.2170000000000001</v>
      </c>
      <c r="G105">
        <v>0.60199999999999998</v>
      </c>
      <c r="H105">
        <v>0.26600000000000001</v>
      </c>
      <c r="I105">
        <v>8.5999999999999993E-2</v>
      </c>
      <c r="J105" s="1" t="s">
        <v>290</v>
      </c>
      <c r="K105">
        <v>2018</v>
      </c>
    </row>
    <row r="106" spans="1:11" x14ac:dyDescent="0.3">
      <c r="A106">
        <v>105</v>
      </c>
      <c r="B106" s="1" t="s">
        <v>134</v>
      </c>
      <c r="C106" s="1" t="str">
        <f>VLOOKUP(_2018[[#This Row],[Country or region]],'2016'!$1:$1048576,2,FALSE)</f>
        <v>Sub-Saharan Africa</v>
      </c>
      <c r="D106">
        <v>4.7240000000000002</v>
      </c>
      <c r="E106">
        <v>0.94</v>
      </c>
      <c r="F106">
        <v>1.41</v>
      </c>
      <c r="G106">
        <v>0.33</v>
      </c>
      <c r="H106">
        <v>0.51600000000000001</v>
      </c>
      <c r="I106">
        <v>0.10299999999999999</v>
      </c>
      <c r="J106" s="1" t="s">
        <v>291</v>
      </c>
      <c r="K106">
        <v>2018</v>
      </c>
    </row>
    <row r="107" spans="1:11" x14ac:dyDescent="0.3">
      <c r="A107">
        <v>106</v>
      </c>
      <c r="B107" s="1" t="s">
        <v>131</v>
      </c>
      <c r="C107" s="1" t="str">
        <f>VLOOKUP(_2018[[#This Row],[Country or region]],'2016'!$1:$1048576,2,FALSE)</f>
        <v>Middle East and Northern Africa</v>
      </c>
      <c r="D107">
        <v>4.7069999999999999</v>
      </c>
      <c r="E107">
        <v>1.0589999999999999</v>
      </c>
      <c r="F107">
        <v>0.77100000000000002</v>
      </c>
      <c r="G107">
        <v>0.69099999999999995</v>
      </c>
      <c r="H107">
        <v>0.45900000000000002</v>
      </c>
      <c r="I107">
        <v>0.28199999999999997</v>
      </c>
      <c r="J107" s="1" t="s">
        <v>292</v>
      </c>
      <c r="K107">
        <v>2018</v>
      </c>
    </row>
    <row r="108" spans="1:11" x14ac:dyDescent="0.3">
      <c r="A108">
        <v>107</v>
      </c>
      <c r="B108" s="1" t="s">
        <v>172</v>
      </c>
      <c r="C108" s="1" t="str">
        <f>VLOOKUP(_2018[[#This Row],[Country or region]],'2016'!$1:$1048576,2,FALSE)</f>
        <v>Sub-Saharan Africa</v>
      </c>
      <c r="D108">
        <v>4.6710000000000003</v>
      </c>
      <c r="E108">
        <v>0.54100000000000004</v>
      </c>
      <c r="F108">
        <v>0.872</v>
      </c>
      <c r="G108">
        <v>0.08</v>
      </c>
      <c r="H108">
        <v>0.46700000000000003</v>
      </c>
      <c r="I108">
        <v>0.14599999999999999</v>
      </c>
      <c r="J108" s="1" t="s">
        <v>282</v>
      </c>
      <c r="K108">
        <v>2018</v>
      </c>
    </row>
    <row r="109" spans="1:11" x14ac:dyDescent="0.3">
      <c r="A109">
        <v>108</v>
      </c>
      <c r="B109" s="1" t="s">
        <v>135</v>
      </c>
      <c r="C109" s="1" t="str">
        <f>VLOOKUP(_2018[[#This Row],[Country or region]],'2016'!$1:$1048576,2,FALSE)</f>
        <v>Sub-Saharan Africa</v>
      </c>
      <c r="D109">
        <v>4.657</v>
      </c>
      <c r="E109">
        <v>0.59199999999999997</v>
      </c>
      <c r="F109">
        <v>0.89600000000000002</v>
      </c>
      <c r="G109">
        <v>0.33700000000000002</v>
      </c>
      <c r="H109">
        <v>0.499</v>
      </c>
      <c r="I109">
        <v>0.21199999999999999</v>
      </c>
      <c r="J109" s="1" t="s">
        <v>251</v>
      </c>
      <c r="K109">
        <v>2018</v>
      </c>
    </row>
    <row r="110" spans="1:11" x14ac:dyDescent="0.3">
      <c r="A110">
        <v>109</v>
      </c>
      <c r="B110" s="1" t="s">
        <v>163</v>
      </c>
      <c r="C110" s="1" t="str">
        <f>VLOOKUP(_2018[[#This Row],[Country or region]],'2016'!$1:$1048576,2,FALSE)</f>
        <v>Sub-Saharan Africa</v>
      </c>
      <c r="D110">
        <v>4.6310000000000002</v>
      </c>
      <c r="E110">
        <v>0.42899999999999999</v>
      </c>
      <c r="F110">
        <v>1.117</v>
      </c>
      <c r="G110">
        <v>0.433</v>
      </c>
      <c r="H110">
        <v>0.40600000000000003</v>
      </c>
      <c r="I110">
        <v>0.13800000000000001</v>
      </c>
      <c r="J110" s="1" t="s">
        <v>216</v>
      </c>
      <c r="K110">
        <v>2018</v>
      </c>
    </row>
    <row r="111" spans="1:11" x14ac:dyDescent="0.3">
      <c r="A111">
        <v>110</v>
      </c>
      <c r="B111" s="1" t="s">
        <v>120</v>
      </c>
      <c r="C111" s="1" t="str">
        <f>VLOOKUP(_2018[[#This Row],[Country or region]],'2016'!$1:$1048576,2,FALSE)</f>
        <v>Southeastern Asia</v>
      </c>
      <c r="D111">
        <v>4.6230000000000002</v>
      </c>
      <c r="E111">
        <v>0.72</v>
      </c>
      <c r="F111">
        <v>1.034</v>
      </c>
      <c r="G111">
        <v>0.441</v>
      </c>
      <c r="H111">
        <v>0.626</v>
      </c>
      <c r="I111">
        <v>0.23</v>
      </c>
      <c r="J111" s="1" t="s">
        <v>267</v>
      </c>
      <c r="K111">
        <v>2018</v>
      </c>
    </row>
    <row r="112" spans="1:11" x14ac:dyDescent="0.3">
      <c r="A112">
        <v>111</v>
      </c>
      <c r="B112" s="1" t="s">
        <v>128</v>
      </c>
      <c r="C112" s="1" t="str">
        <f>VLOOKUP(_2018[[#This Row],[Country or region]],'2016'!$1:$1048576,2,FALSE)</f>
        <v>Middle East and Northern Africa</v>
      </c>
      <c r="D112">
        <v>4.5919999999999996</v>
      </c>
      <c r="E112">
        <v>0.9</v>
      </c>
      <c r="F112">
        <v>0.90600000000000003</v>
      </c>
      <c r="G112">
        <v>0.69</v>
      </c>
      <c r="H112">
        <v>0.27100000000000002</v>
      </c>
      <c r="I112">
        <v>0.04</v>
      </c>
      <c r="J112" s="1" t="s">
        <v>232</v>
      </c>
      <c r="K112">
        <v>2018</v>
      </c>
    </row>
    <row r="113" spans="1:11" x14ac:dyDescent="0.3">
      <c r="A113">
        <v>112</v>
      </c>
      <c r="B113" s="1" t="s">
        <v>116</v>
      </c>
      <c r="C113" s="1" t="str">
        <f>VLOOKUP(_2018[[#This Row],[Country or region]],'2016'!$1:$1048576,2,FALSE)</f>
        <v>Central and Eastern Europe</v>
      </c>
      <c r="D113">
        <v>4.5860000000000003</v>
      </c>
      <c r="E113">
        <v>0.91600000000000004</v>
      </c>
      <c r="F113">
        <v>0.81699999999999995</v>
      </c>
      <c r="G113">
        <v>0.79</v>
      </c>
      <c r="H113">
        <v>0.41899999999999998</v>
      </c>
      <c r="I113">
        <v>0.14899999999999999</v>
      </c>
      <c r="J113" s="1" t="s">
        <v>285</v>
      </c>
      <c r="K113">
        <v>2018</v>
      </c>
    </row>
    <row r="114" spans="1:11" x14ac:dyDescent="0.3">
      <c r="A114">
        <v>113</v>
      </c>
      <c r="B114" s="1" t="s">
        <v>144</v>
      </c>
      <c r="C114" s="1" t="str">
        <f>VLOOKUP(_2018[[#This Row],[Country or region]],'2016'!$1:$1048576,2,FALSE)</f>
        <v>Sub-Saharan Africa</v>
      </c>
      <c r="D114">
        <v>4.5709999999999997</v>
      </c>
      <c r="E114">
        <v>0.25600000000000001</v>
      </c>
      <c r="F114">
        <v>0.81299999999999994</v>
      </c>
      <c r="G114">
        <v>0</v>
      </c>
      <c r="H114">
        <v>0.35499999999999998</v>
      </c>
      <c r="I114">
        <v>0.23799999999999999</v>
      </c>
      <c r="J114" s="1" t="s">
        <v>293</v>
      </c>
      <c r="K114">
        <v>2018</v>
      </c>
    </row>
    <row r="115" spans="1:11" x14ac:dyDescent="0.3">
      <c r="A115">
        <v>114</v>
      </c>
      <c r="B115" s="1" t="s">
        <v>160</v>
      </c>
      <c r="C115" s="1" t="str">
        <f>VLOOKUP(_2018[[#This Row],[Country or region]],'2016'!$1:$1048576,2,FALSE)</f>
        <v>Sub-Saharan Africa</v>
      </c>
      <c r="D115">
        <v>4.5590000000000002</v>
      </c>
      <c r="E115">
        <v>0.68200000000000005</v>
      </c>
      <c r="F115">
        <v>0.81100000000000005</v>
      </c>
      <c r="G115">
        <v>0.34300000000000003</v>
      </c>
      <c r="H115">
        <v>0.51400000000000001</v>
      </c>
      <c r="I115">
        <v>9.0999999999999998E-2</v>
      </c>
      <c r="J115" s="1" t="s">
        <v>294</v>
      </c>
      <c r="K115">
        <v>2018</v>
      </c>
    </row>
    <row r="116" spans="1:11" x14ac:dyDescent="0.3">
      <c r="A116">
        <v>115</v>
      </c>
      <c r="B116" s="1" t="s">
        <v>130</v>
      </c>
      <c r="C116" s="1" t="str">
        <f>VLOOKUP(_2018[[#This Row],[Country or region]],'2016'!$1:$1048576,2,FALSE)</f>
        <v>Southern Asia</v>
      </c>
      <c r="D116">
        <v>4.5</v>
      </c>
      <c r="E116">
        <v>0.53200000000000003</v>
      </c>
      <c r="F116">
        <v>0.85</v>
      </c>
      <c r="G116">
        <v>0.57899999999999996</v>
      </c>
      <c r="H116">
        <v>0.57999999999999996</v>
      </c>
      <c r="I116">
        <v>0.153</v>
      </c>
      <c r="J116" s="1" t="s">
        <v>295</v>
      </c>
      <c r="K116">
        <v>2018</v>
      </c>
    </row>
    <row r="117" spans="1:11" x14ac:dyDescent="0.3">
      <c r="A117">
        <v>116</v>
      </c>
      <c r="B117" s="1" t="s">
        <v>153</v>
      </c>
      <c r="C117" s="1" t="str">
        <f>VLOOKUP(_2018[[#This Row],[Country or region]],'2016'!$1:$1048576,2,FALSE)</f>
        <v>Southern Asia</v>
      </c>
      <c r="D117">
        <v>4.4710000000000001</v>
      </c>
      <c r="E117">
        <v>0.91800000000000004</v>
      </c>
      <c r="F117">
        <v>1.3140000000000001</v>
      </c>
      <c r="G117">
        <v>0.67200000000000004</v>
      </c>
      <c r="H117">
        <v>0.58499999999999996</v>
      </c>
      <c r="I117">
        <v>0.307</v>
      </c>
      <c r="J117" s="1" t="s">
        <v>260</v>
      </c>
      <c r="K117">
        <v>2018</v>
      </c>
    </row>
    <row r="118" spans="1:11" x14ac:dyDescent="0.3">
      <c r="A118">
        <v>117</v>
      </c>
      <c r="B118" s="1" t="s">
        <v>133</v>
      </c>
      <c r="C118" s="1" t="str">
        <f>VLOOKUP(_2018[[#This Row],[Country or region]],'2016'!$1:$1048576,2,FALSE)</f>
        <v>Middle East and Northern Africa</v>
      </c>
      <c r="D118">
        <v>4.4560000000000004</v>
      </c>
      <c r="E118">
        <v>1.01</v>
      </c>
      <c r="F118">
        <v>0.97099999999999997</v>
      </c>
      <c r="G118">
        <v>0.53600000000000003</v>
      </c>
      <c r="H118">
        <v>0.30399999999999999</v>
      </c>
      <c r="I118">
        <v>0.14799999999999999</v>
      </c>
      <c r="J118" s="1" t="s">
        <v>229</v>
      </c>
      <c r="K118">
        <v>2018</v>
      </c>
    </row>
    <row r="119" spans="1:11" x14ac:dyDescent="0.3">
      <c r="A119">
        <v>118</v>
      </c>
      <c r="B119" s="1" t="s">
        <v>159</v>
      </c>
      <c r="C119" s="1" t="str">
        <f>VLOOKUP(_2018[[#This Row],[Country or region]],'2016'!$1:$1048576,2,FALSE)</f>
        <v>Sub-Saharan Africa</v>
      </c>
      <c r="D119">
        <v>4.4470000000000001</v>
      </c>
      <c r="E119">
        <v>0.37</v>
      </c>
      <c r="F119">
        <v>1.2330000000000001</v>
      </c>
      <c r="G119">
        <v>0.152</v>
      </c>
      <c r="H119">
        <v>0.36699999999999999</v>
      </c>
      <c r="I119">
        <v>0.13900000000000001</v>
      </c>
      <c r="J119" s="1" t="s">
        <v>291</v>
      </c>
      <c r="K119">
        <v>2018</v>
      </c>
    </row>
    <row r="120" spans="1:11" x14ac:dyDescent="0.3">
      <c r="A120">
        <v>119</v>
      </c>
      <c r="B120" s="1" t="s">
        <v>186</v>
      </c>
      <c r="C120" s="1" t="str">
        <f>VLOOKUP(_2018[[#This Row],[Country or region]],'2016'!$1:$1048576,2,FALSE)</f>
        <v>Sub-Saharan Africa</v>
      </c>
      <c r="D120">
        <v>4.4409999999999998</v>
      </c>
      <c r="E120">
        <v>0.874</v>
      </c>
      <c r="F120">
        <v>1.2809999999999999</v>
      </c>
      <c r="G120">
        <v>0.36499999999999999</v>
      </c>
      <c r="H120">
        <v>0.51900000000000002</v>
      </c>
      <c r="I120">
        <v>5.0999999999999997E-2</v>
      </c>
      <c r="J120" s="1" t="s">
        <v>247</v>
      </c>
      <c r="K120">
        <v>2018</v>
      </c>
    </row>
    <row r="121" spans="1:11" x14ac:dyDescent="0.3">
      <c r="A121">
        <v>120</v>
      </c>
      <c r="B121" s="1" t="s">
        <v>166</v>
      </c>
      <c r="C121" s="1" t="str">
        <f>VLOOKUP(_2018[[#This Row],[Country or region]],'2016'!$1:$1048576,2,FALSE)</f>
        <v>Southeastern Asia</v>
      </c>
      <c r="D121">
        <v>4.4329999999999998</v>
      </c>
      <c r="E121">
        <v>0.54900000000000004</v>
      </c>
      <c r="F121">
        <v>1.0880000000000001</v>
      </c>
      <c r="G121">
        <v>0.45700000000000002</v>
      </c>
      <c r="H121">
        <v>0.69599999999999995</v>
      </c>
      <c r="I121">
        <v>0.25600000000000001</v>
      </c>
      <c r="J121" s="1" t="s">
        <v>296</v>
      </c>
      <c r="K121">
        <v>2018</v>
      </c>
    </row>
    <row r="122" spans="1:11" x14ac:dyDescent="0.3">
      <c r="A122">
        <v>121</v>
      </c>
      <c r="B122" s="1" t="s">
        <v>173</v>
      </c>
      <c r="C122" s="1" t="str">
        <f>VLOOKUP(_2018[[#This Row],[Country or region]],'2016'!$1:$1048576,2,FALSE)</f>
        <v>Sub-Saharan Africa</v>
      </c>
      <c r="D122">
        <v>4.4240000000000004</v>
      </c>
      <c r="E122">
        <v>0.314</v>
      </c>
      <c r="F122">
        <v>1.097</v>
      </c>
      <c r="G122">
        <v>0.254</v>
      </c>
      <c r="H122">
        <v>0.312</v>
      </c>
      <c r="I122">
        <v>0.17499999999999999</v>
      </c>
      <c r="J122" s="1" t="s">
        <v>246</v>
      </c>
      <c r="K122">
        <v>2018</v>
      </c>
    </row>
    <row r="123" spans="1:11" x14ac:dyDescent="0.3">
      <c r="A123">
        <v>122</v>
      </c>
      <c r="B123" s="1" t="s">
        <v>156</v>
      </c>
      <c r="C123" s="1" t="str">
        <f>VLOOKUP(_2018[[#This Row],[Country or region]],'2016'!$1:$1048576,2,FALSE)</f>
        <v>Middle East and Northern Africa</v>
      </c>
      <c r="D123">
        <v>4.4189999999999996</v>
      </c>
      <c r="E123">
        <v>0.88500000000000001</v>
      </c>
      <c r="F123">
        <v>1.0249999999999999</v>
      </c>
      <c r="G123">
        <v>0.55300000000000005</v>
      </c>
      <c r="H123">
        <v>0.312</v>
      </c>
      <c r="I123">
        <v>9.1999999999999998E-2</v>
      </c>
      <c r="J123" s="1" t="s">
        <v>297</v>
      </c>
      <c r="K123">
        <v>2018</v>
      </c>
    </row>
    <row r="124" spans="1:11" x14ac:dyDescent="0.3">
      <c r="A124">
        <v>123</v>
      </c>
      <c r="B124" s="1" t="s">
        <v>115</v>
      </c>
      <c r="C124" s="1" t="s">
        <v>91</v>
      </c>
      <c r="D124">
        <v>4.4169999999999998</v>
      </c>
      <c r="E124">
        <v>0.19800000000000001</v>
      </c>
      <c r="F124">
        <v>0.90200000000000002</v>
      </c>
      <c r="G124">
        <v>0.17299999999999999</v>
      </c>
      <c r="H124">
        <v>0.53100000000000003</v>
      </c>
      <c r="I124">
        <v>0.20599999999999999</v>
      </c>
      <c r="J124" s="1" t="s">
        <v>298</v>
      </c>
      <c r="K124">
        <v>2018</v>
      </c>
    </row>
    <row r="125" spans="1:11" x14ac:dyDescent="0.3">
      <c r="A125">
        <v>124</v>
      </c>
      <c r="B125" s="1" t="s">
        <v>146</v>
      </c>
      <c r="C125" s="1" t="str">
        <f>VLOOKUP(_2018[[#This Row],[Country or region]],'2016'!$1:$1048576,2,FALSE)</f>
        <v>Sub-Saharan Africa</v>
      </c>
      <c r="D125">
        <v>4.41</v>
      </c>
      <c r="E125">
        <v>0.49299999999999999</v>
      </c>
      <c r="F125">
        <v>1.048</v>
      </c>
      <c r="G125">
        <v>0.45400000000000001</v>
      </c>
      <c r="H125">
        <v>0.504</v>
      </c>
      <c r="I125">
        <v>0.35199999999999998</v>
      </c>
      <c r="J125" s="1" t="s">
        <v>299</v>
      </c>
      <c r="K125">
        <v>2018</v>
      </c>
    </row>
    <row r="126" spans="1:11" x14ac:dyDescent="0.3">
      <c r="A126">
        <v>125</v>
      </c>
      <c r="B126" s="1" t="s">
        <v>106</v>
      </c>
      <c r="C126" s="1" t="str">
        <f>VLOOKUP(_2018[[#This Row],[Country or region]],'2016'!$1:$1048576,2,FALSE)</f>
        <v>Sub-Saharan Africa</v>
      </c>
      <c r="D126">
        <v>4.3769999999999998</v>
      </c>
      <c r="E126">
        <v>0.56200000000000006</v>
      </c>
      <c r="F126">
        <v>1.0469999999999999</v>
      </c>
      <c r="G126">
        <v>0.29499999999999998</v>
      </c>
      <c r="H126">
        <v>0.503</v>
      </c>
      <c r="I126">
        <v>0.221</v>
      </c>
      <c r="J126" s="1" t="s">
        <v>216</v>
      </c>
      <c r="K126">
        <v>2018</v>
      </c>
    </row>
    <row r="127" spans="1:11" x14ac:dyDescent="0.3">
      <c r="A127">
        <v>126</v>
      </c>
      <c r="B127" s="1" t="s">
        <v>145</v>
      </c>
      <c r="C127" s="1" t="str">
        <f>VLOOKUP(_2018[[#This Row],[Country or region]],'2016'!$1:$1048576,2,FALSE)</f>
        <v>Sub-Saharan Africa</v>
      </c>
      <c r="D127">
        <v>4.3559999999999999</v>
      </c>
      <c r="E127">
        <v>0.55700000000000005</v>
      </c>
      <c r="F127">
        <v>1.2450000000000001</v>
      </c>
      <c r="G127">
        <v>0.29199999999999998</v>
      </c>
      <c r="H127">
        <v>0.129</v>
      </c>
      <c r="I127">
        <v>0.13400000000000001</v>
      </c>
      <c r="J127" s="1" t="s">
        <v>300</v>
      </c>
      <c r="K127">
        <v>2018</v>
      </c>
    </row>
    <row r="128" spans="1:11" x14ac:dyDescent="0.3">
      <c r="A128">
        <v>127</v>
      </c>
      <c r="B128" s="1" t="s">
        <v>143</v>
      </c>
      <c r="C128" s="1" t="str">
        <f>VLOOKUP(_2018[[#This Row],[Country or region]],'2016'!$1:$1048576,2,FALSE)</f>
        <v>Sub-Saharan Africa</v>
      </c>
      <c r="D128">
        <v>4.3499999999999996</v>
      </c>
      <c r="E128">
        <v>0.308</v>
      </c>
      <c r="F128">
        <v>0.95</v>
      </c>
      <c r="G128">
        <v>0.39100000000000001</v>
      </c>
      <c r="H128">
        <v>0.45200000000000001</v>
      </c>
      <c r="I128">
        <v>0.22</v>
      </c>
      <c r="J128" s="1" t="s">
        <v>301</v>
      </c>
      <c r="K128">
        <v>2018</v>
      </c>
    </row>
    <row r="129" spans="1:11" x14ac:dyDescent="0.3">
      <c r="A129">
        <v>128</v>
      </c>
      <c r="B129" s="1" t="s">
        <v>151</v>
      </c>
      <c r="C129" s="1" t="str">
        <f>VLOOKUP(_2018[[#This Row],[Country or region]],'2016'!$1:$1048576,2,FALSE)</f>
        <v>Central and Eastern Europe</v>
      </c>
      <c r="D129">
        <v>4.34</v>
      </c>
      <c r="E129">
        <v>0.85299999999999998</v>
      </c>
      <c r="F129">
        <v>0.59199999999999997</v>
      </c>
      <c r="G129">
        <v>0.64300000000000002</v>
      </c>
      <c r="H129">
        <v>0.375</v>
      </c>
      <c r="I129">
        <v>3.7999999999999999E-2</v>
      </c>
      <c r="J129" s="1" t="s">
        <v>302</v>
      </c>
      <c r="K129">
        <v>2018</v>
      </c>
    </row>
    <row r="130" spans="1:11" x14ac:dyDescent="0.3">
      <c r="A130">
        <v>129</v>
      </c>
      <c r="B130" s="1" t="s">
        <v>148</v>
      </c>
      <c r="C130" s="1" t="str">
        <f>VLOOKUP(_2018[[#This Row],[Country or region]],'2016'!$1:$1048576,2,FALSE)</f>
        <v>Central and Eastern Europe</v>
      </c>
      <c r="D130">
        <v>4.3209999999999997</v>
      </c>
      <c r="E130">
        <v>0.81599999999999995</v>
      </c>
      <c r="F130">
        <v>0.99</v>
      </c>
      <c r="G130">
        <v>0.66600000000000004</v>
      </c>
      <c r="H130">
        <v>0.26</v>
      </c>
      <c r="I130">
        <v>7.6999999999999999E-2</v>
      </c>
      <c r="J130" s="1" t="s">
        <v>252</v>
      </c>
      <c r="K130">
        <v>2018</v>
      </c>
    </row>
    <row r="131" spans="1:11" x14ac:dyDescent="0.3">
      <c r="A131">
        <v>130</v>
      </c>
      <c r="B131" s="1" t="s">
        <v>150</v>
      </c>
      <c r="C131" s="1" t="str">
        <f>VLOOKUP(_2018[[#This Row],[Country or region]],'2016'!$1:$1048576,2,FALSE)</f>
        <v>Southeastern Asia</v>
      </c>
      <c r="D131">
        <v>4.3079999999999998</v>
      </c>
      <c r="E131">
        <v>0.68200000000000005</v>
      </c>
      <c r="F131">
        <v>1.1739999999999999</v>
      </c>
      <c r="G131">
        <v>0.42899999999999999</v>
      </c>
      <c r="H131">
        <v>0.57999999999999996</v>
      </c>
      <c r="I131">
        <v>0.59799999999999998</v>
      </c>
      <c r="J131" s="1" t="s">
        <v>303</v>
      </c>
      <c r="K131">
        <v>2018</v>
      </c>
    </row>
    <row r="132" spans="1:11" x14ac:dyDescent="0.3">
      <c r="A132">
        <v>131</v>
      </c>
      <c r="B132" s="1" t="s">
        <v>170</v>
      </c>
      <c r="C132" s="1" t="str">
        <f>VLOOKUP(_2018[[#This Row],[Country or region]],'2016'!$1:$1048576,2,FALSE)</f>
        <v>Sub-Saharan Africa</v>
      </c>
      <c r="D132">
        <v>4.3010000000000002</v>
      </c>
      <c r="E132">
        <v>0.35799999999999998</v>
      </c>
      <c r="F132">
        <v>0.90700000000000003</v>
      </c>
      <c r="G132">
        <v>5.2999999999999999E-2</v>
      </c>
      <c r="H132">
        <v>0.189</v>
      </c>
      <c r="I132">
        <v>0.18099999999999999</v>
      </c>
      <c r="J132" s="1" t="s">
        <v>304</v>
      </c>
      <c r="K132">
        <v>2018</v>
      </c>
    </row>
    <row r="133" spans="1:11" x14ac:dyDescent="0.3">
      <c r="A133">
        <v>132</v>
      </c>
      <c r="B133" s="1" t="s">
        <v>141</v>
      </c>
      <c r="C133" s="1" t="str">
        <f>VLOOKUP(_2018[[#This Row],[Country or region]],'2016'!$1:$1048576,2,FALSE)</f>
        <v>Sub-Saharan Africa</v>
      </c>
      <c r="D133">
        <v>4.2450000000000001</v>
      </c>
      <c r="E133">
        <v>6.9000000000000006E-2</v>
      </c>
      <c r="F133">
        <v>1.1359999999999999</v>
      </c>
      <c r="G133">
        <v>0.20399999999999999</v>
      </c>
      <c r="H133">
        <v>0.312</v>
      </c>
      <c r="I133">
        <v>0.19700000000000001</v>
      </c>
      <c r="J133" s="1" t="s">
        <v>283</v>
      </c>
      <c r="K133">
        <v>2018</v>
      </c>
    </row>
    <row r="134" spans="1:11" x14ac:dyDescent="0.3">
      <c r="A134">
        <v>133</v>
      </c>
      <c r="B134" s="1" t="s">
        <v>138</v>
      </c>
      <c r="C134" s="1" t="str">
        <f>VLOOKUP(_2018[[#This Row],[Country or region]],'2016'!$1:$1048576,2,FALSE)</f>
        <v>Southern Asia</v>
      </c>
      <c r="D134">
        <v>4.1900000000000004</v>
      </c>
      <c r="E134">
        <v>0.72099999999999997</v>
      </c>
      <c r="F134">
        <v>0.747</v>
      </c>
      <c r="G134">
        <v>0.48499999999999999</v>
      </c>
      <c r="H134">
        <v>0.53900000000000003</v>
      </c>
      <c r="I134">
        <v>0.17199999999999999</v>
      </c>
      <c r="J134" s="1" t="s">
        <v>300</v>
      </c>
      <c r="K134">
        <v>2018</v>
      </c>
    </row>
    <row r="135" spans="1:11" x14ac:dyDescent="0.3">
      <c r="A135">
        <v>134</v>
      </c>
      <c r="B135" s="1" t="s">
        <v>165</v>
      </c>
      <c r="C135" s="1" t="str">
        <f>VLOOKUP(_2018[[#This Row],[Country or region]],'2016'!$1:$1048576,2,FALSE)</f>
        <v>Sub-Saharan Africa</v>
      </c>
      <c r="D135">
        <v>4.1660000000000004</v>
      </c>
      <c r="E135">
        <v>0.13100000000000001</v>
      </c>
      <c r="F135">
        <v>0.86699999999999999</v>
      </c>
      <c r="G135">
        <v>0.221</v>
      </c>
      <c r="H135">
        <v>0.39</v>
      </c>
      <c r="I135">
        <v>0.17499999999999999</v>
      </c>
      <c r="J135" s="1" t="s">
        <v>305</v>
      </c>
      <c r="K135">
        <v>2018</v>
      </c>
    </row>
    <row r="136" spans="1:11" x14ac:dyDescent="0.3">
      <c r="A136">
        <v>135</v>
      </c>
      <c r="B136" s="1" t="s">
        <v>162</v>
      </c>
      <c r="C136" s="1" t="str">
        <f>VLOOKUP(_2018[[#This Row],[Country or region]],'2016'!$1:$1048576,2,FALSE)</f>
        <v>Sub-Saharan Africa</v>
      </c>
      <c r="D136">
        <v>4.1609999999999996</v>
      </c>
      <c r="E136">
        <v>0.32200000000000001</v>
      </c>
      <c r="F136">
        <v>1.0900000000000001</v>
      </c>
      <c r="G136">
        <v>0.23699999999999999</v>
      </c>
      <c r="H136">
        <v>0.45</v>
      </c>
      <c r="I136">
        <v>0.25900000000000001</v>
      </c>
      <c r="J136" s="1" t="s">
        <v>230</v>
      </c>
      <c r="K136">
        <v>2018</v>
      </c>
    </row>
    <row r="137" spans="1:11" x14ac:dyDescent="0.3">
      <c r="A137">
        <v>136</v>
      </c>
      <c r="B137" s="1" t="s">
        <v>176</v>
      </c>
      <c r="C137" s="1" t="str">
        <f>VLOOKUP(_2018[[#This Row],[Country or region]],'2016'!$1:$1048576,2,FALSE)</f>
        <v>Sub-Saharan Africa</v>
      </c>
      <c r="D137">
        <v>4.141</v>
      </c>
      <c r="E137">
        <v>0.378</v>
      </c>
      <c r="F137">
        <v>0.372</v>
      </c>
      <c r="G137">
        <v>0.24</v>
      </c>
      <c r="H137">
        <v>0.44</v>
      </c>
      <c r="I137">
        <v>0.16300000000000001</v>
      </c>
      <c r="J137" s="1" t="s">
        <v>306</v>
      </c>
      <c r="K137">
        <v>2018</v>
      </c>
    </row>
    <row r="138" spans="1:11" x14ac:dyDescent="0.3">
      <c r="A138">
        <v>137</v>
      </c>
      <c r="B138" s="1" t="s">
        <v>139</v>
      </c>
      <c r="C138" s="1" t="str">
        <f>VLOOKUP(_2018[[#This Row],[Country or region]],'2016'!$1:$1048576,2,FALSE)</f>
        <v>Sub-Saharan Africa</v>
      </c>
      <c r="D138">
        <v>4.1390000000000002</v>
      </c>
      <c r="E138">
        <v>0.60499999999999998</v>
      </c>
      <c r="F138">
        <v>1.24</v>
      </c>
      <c r="G138">
        <v>0.312</v>
      </c>
      <c r="H138">
        <v>1.6E-2</v>
      </c>
      <c r="I138">
        <v>0.13400000000000001</v>
      </c>
      <c r="J138" s="1" t="s">
        <v>216</v>
      </c>
      <c r="K138">
        <v>2018</v>
      </c>
    </row>
    <row r="139" spans="1:11" x14ac:dyDescent="0.3">
      <c r="A139">
        <v>138</v>
      </c>
      <c r="B139" s="1" t="s">
        <v>132</v>
      </c>
      <c r="C139" s="1" t="str">
        <f>VLOOKUP(_2018[[#This Row],[Country or region]],'2016'!$1:$1048576,2,FALSE)</f>
        <v>Central and Eastern Europe</v>
      </c>
      <c r="D139">
        <v>4.1029999999999998</v>
      </c>
      <c r="E139">
        <v>0.79300000000000004</v>
      </c>
      <c r="F139">
        <v>1.413</v>
      </c>
      <c r="G139">
        <v>0.60899999999999999</v>
      </c>
      <c r="H139">
        <v>0.16300000000000001</v>
      </c>
      <c r="I139">
        <v>0.187</v>
      </c>
      <c r="J139" s="1" t="s">
        <v>307</v>
      </c>
      <c r="K139">
        <v>2018</v>
      </c>
    </row>
    <row r="140" spans="1:11" x14ac:dyDescent="0.3">
      <c r="A140">
        <v>139</v>
      </c>
      <c r="B140" s="1" t="s">
        <v>179</v>
      </c>
      <c r="C140" s="1" t="str">
        <f>VLOOKUP(_2018[[#This Row],[Country or region]],'2016'!$1:$1048576,2,FALSE)</f>
        <v>Sub-Saharan Africa</v>
      </c>
      <c r="D140">
        <v>3.9990000000000001</v>
      </c>
      <c r="E140">
        <v>0.25900000000000001</v>
      </c>
      <c r="F140">
        <v>0.47399999999999998</v>
      </c>
      <c r="G140">
        <v>0.253</v>
      </c>
      <c r="H140">
        <v>0.434</v>
      </c>
      <c r="I140">
        <v>0.158</v>
      </c>
      <c r="J140" s="1" t="s">
        <v>218</v>
      </c>
      <c r="K140">
        <v>2018</v>
      </c>
    </row>
    <row r="141" spans="1:11" x14ac:dyDescent="0.3">
      <c r="A141">
        <v>140</v>
      </c>
      <c r="B141" s="1" t="s">
        <v>171</v>
      </c>
      <c r="C141" s="1" t="str">
        <f>VLOOKUP(_2018[[#This Row],[Country or region]],'2016'!$1:$1048576,2,FALSE)</f>
        <v>Sub-Saharan Africa</v>
      </c>
      <c r="D141">
        <v>3.964</v>
      </c>
      <c r="E141">
        <v>0.34399999999999997</v>
      </c>
      <c r="F141">
        <v>0.79200000000000004</v>
      </c>
      <c r="G141">
        <v>0.21099999999999999</v>
      </c>
      <c r="H141">
        <v>0.39400000000000002</v>
      </c>
      <c r="I141">
        <v>0.185</v>
      </c>
      <c r="J141" s="1" t="s">
        <v>308</v>
      </c>
      <c r="K141">
        <v>2018</v>
      </c>
    </row>
    <row r="142" spans="1:11" x14ac:dyDescent="0.3">
      <c r="A142">
        <v>141</v>
      </c>
      <c r="B142" s="1" t="s">
        <v>118</v>
      </c>
      <c r="C142" s="1" t="s">
        <v>100</v>
      </c>
      <c r="D142">
        <v>3.8079999999999998</v>
      </c>
      <c r="E142">
        <v>0.47199999999999998</v>
      </c>
      <c r="F142">
        <v>1.2150000000000001</v>
      </c>
      <c r="G142">
        <v>7.9000000000000001E-2</v>
      </c>
      <c r="H142">
        <v>0.42299999999999999</v>
      </c>
      <c r="I142">
        <v>0.11600000000000001</v>
      </c>
      <c r="J142" s="1" t="s">
        <v>309</v>
      </c>
      <c r="K142">
        <v>2018</v>
      </c>
    </row>
    <row r="143" spans="1:11" x14ac:dyDescent="0.3">
      <c r="A143">
        <v>142</v>
      </c>
      <c r="B143" s="1" t="s">
        <v>158</v>
      </c>
      <c r="C143" s="1" t="str">
        <f>VLOOKUP(_2018[[#This Row],[Country or region]],'2016'!$1:$1048576,2,FALSE)</f>
        <v>Sub-Saharan Africa</v>
      </c>
      <c r="D143">
        <v>3.7949999999999999</v>
      </c>
      <c r="E143">
        <v>0.73</v>
      </c>
      <c r="F143">
        <v>1.125</v>
      </c>
      <c r="G143">
        <v>0.26900000000000002</v>
      </c>
      <c r="H143">
        <v>0</v>
      </c>
      <c r="I143">
        <v>7.9000000000000001E-2</v>
      </c>
      <c r="J143" s="1" t="s">
        <v>230</v>
      </c>
      <c r="K143">
        <v>2018</v>
      </c>
    </row>
    <row r="144" spans="1:11" x14ac:dyDescent="0.3">
      <c r="A144">
        <v>143</v>
      </c>
      <c r="B144" s="1" t="s">
        <v>168</v>
      </c>
      <c r="C144" s="1" t="str">
        <f>VLOOKUP(_2018[[#This Row],[Country or region]],'2016'!$1:$1048576,2,FALSE)</f>
        <v>Sub-Saharan Africa</v>
      </c>
      <c r="D144">
        <v>3.774</v>
      </c>
      <c r="E144">
        <v>0.26200000000000001</v>
      </c>
      <c r="F144">
        <v>0.90800000000000003</v>
      </c>
      <c r="G144">
        <v>0.40200000000000002</v>
      </c>
      <c r="H144">
        <v>0.221</v>
      </c>
      <c r="I144">
        <v>0.155</v>
      </c>
      <c r="J144" s="1" t="s">
        <v>310</v>
      </c>
      <c r="K144">
        <v>2018</v>
      </c>
    </row>
    <row r="145" spans="1:11" x14ac:dyDescent="0.3">
      <c r="A145">
        <v>144</v>
      </c>
      <c r="B145" s="1" t="s">
        <v>136</v>
      </c>
      <c r="C145" s="1" t="str">
        <f>VLOOKUP(_2018[[#This Row],[Country or region]],'2016'!$1:$1048576,2,FALSE)</f>
        <v>Sub-Saharan Africa</v>
      </c>
      <c r="D145">
        <v>3.6920000000000002</v>
      </c>
      <c r="E145">
        <v>0.35699999999999998</v>
      </c>
      <c r="F145">
        <v>1.0940000000000001</v>
      </c>
      <c r="G145">
        <v>0.248</v>
      </c>
      <c r="H145">
        <v>0.40600000000000003</v>
      </c>
      <c r="I145">
        <v>0.13200000000000001</v>
      </c>
      <c r="J145" s="1" t="s">
        <v>305</v>
      </c>
      <c r="K145">
        <v>2018</v>
      </c>
    </row>
    <row r="146" spans="1:11" x14ac:dyDescent="0.3">
      <c r="A146">
        <v>145</v>
      </c>
      <c r="B146" s="1" t="s">
        <v>174</v>
      </c>
      <c r="C146" s="1" t="str">
        <f>VLOOKUP(_2018[[#This Row],[Country or region]],'2016'!$1:$1048576,2,FALSE)</f>
        <v>Southern Asia</v>
      </c>
      <c r="D146">
        <v>3.6320000000000001</v>
      </c>
      <c r="E146">
        <v>0.33200000000000002</v>
      </c>
      <c r="F146">
        <v>0.53700000000000003</v>
      </c>
      <c r="G146">
        <v>0.255</v>
      </c>
      <c r="H146">
        <v>8.5000000000000006E-2</v>
      </c>
      <c r="I146">
        <v>0.191</v>
      </c>
      <c r="J146" s="1" t="s">
        <v>311</v>
      </c>
      <c r="K146">
        <v>2018</v>
      </c>
    </row>
    <row r="147" spans="1:11" x14ac:dyDescent="0.3">
      <c r="A147">
        <v>146</v>
      </c>
      <c r="B147" s="1" t="s">
        <v>149</v>
      </c>
      <c r="C147" s="1" t="str">
        <f>VLOOKUP(_2018[[#This Row],[Country or region]],'2016'!$1:$1048576,2,FALSE)</f>
        <v>Sub-Saharan Africa</v>
      </c>
      <c r="D147">
        <v>3.59</v>
      </c>
      <c r="E147">
        <v>1.0169999999999999</v>
      </c>
      <c r="F147">
        <v>1.1739999999999999</v>
      </c>
      <c r="G147">
        <v>0.41699999999999998</v>
      </c>
      <c r="H147">
        <v>0.55700000000000005</v>
      </c>
      <c r="I147">
        <v>4.2000000000000003E-2</v>
      </c>
      <c r="J147" s="1" t="s">
        <v>312</v>
      </c>
      <c r="K147">
        <v>2018</v>
      </c>
    </row>
    <row r="148" spans="1:11" x14ac:dyDescent="0.3">
      <c r="A148">
        <v>147</v>
      </c>
      <c r="B148" s="1" t="s">
        <v>152</v>
      </c>
      <c r="C148" s="1" t="str">
        <f>VLOOKUP(_2018[[#This Row],[Country or region]],'2016'!$1:$1048576,2,FALSE)</f>
        <v>Sub-Saharan Africa</v>
      </c>
      <c r="D148">
        <v>3.5870000000000002</v>
      </c>
      <c r="E148">
        <v>0.186</v>
      </c>
      <c r="F148">
        <v>0.54100000000000004</v>
      </c>
      <c r="G148">
        <v>0.30599999999999999</v>
      </c>
      <c r="H148">
        <v>0.53100000000000003</v>
      </c>
      <c r="I148">
        <v>0.21</v>
      </c>
      <c r="J148" s="1" t="s">
        <v>313</v>
      </c>
      <c r="K148">
        <v>2018</v>
      </c>
    </row>
    <row r="149" spans="1:11" x14ac:dyDescent="0.3">
      <c r="A149">
        <v>148</v>
      </c>
      <c r="B149" s="1" t="s">
        <v>140</v>
      </c>
      <c r="C149" s="1" t="str">
        <f>VLOOKUP(_2018[[#This Row],[Country or region]],'2016'!$1:$1048576,2,FALSE)</f>
        <v>Latin America and Caribbean</v>
      </c>
      <c r="D149">
        <v>3.5819999999999999</v>
      </c>
      <c r="E149">
        <v>0.315</v>
      </c>
      <c r="F149">
        <v>0.71399999999999997</v>
      </c>
      <c r="G149">
        <v>0.28899999999999998</v>
      </c>
      <c r="H149">
        <v>2.5000000000000001E-2</v>
      </c>
      <c r="I149">
        <v>0.39200000000000002</v>
      </c>
      <c r="J149" s="1" t="s">
        <v>314</v>
      </c>
      <c r="K149">
        <v>2018</v>
      </c>
    </row>
    <row r="150" spans="1:11" x14ac:dyDescent="0.3">
      <c r="A150">
        <v>149</v>
      </c>
      <c r="B150" s="1" t="s">
        <v>137</v>
      </c>
      <c r="C150" s="1" t="str">
        <f>VLOOKUP(_2018[[#This Row],[Country or region]],'2016'!$1:$1048576,2,FALSE)</f>
        <v>Sub-Saharan Africa</v>
      </c>
      <c r="D150">
        <v>3.4950000000000001</v>
      </c>
      <c r="E150">
        <v>7.5999999999999998E-2</v>
      </c>
      <c r="F150">
        <v>0.85799999999999998</v>
      </c>
      <c r="G150">
        <v>0.26700000000000002</v>
      </c>
      <c r="H150">
        <v>0.41899999999999998</v>
      </c>
      <c r="I150">
        <v>0.20599999999999999</v>
      </c>
      <c r="J150" s="1" t="s">
        <v>315</v>
      </c>
      <c r="K150">
        <v>2018</v>
      </c>
    </row>
    <row r="151" spans="1:11" x14ac:dyDescent="0.3">
      <c r="A151">
        <v>150</v>
      </c>
      <c r="B151" s="1" t="s">
        <v>177</v>
      </c>
      <c r="C151" s="1" t="str">
        <f>VLOOKUP(_2018[[#This Row],[Country or region]],'2016'!$1:$1048576,2,FALSE)</f>
        <v>Middle East and Northern Africa</v>
      </c>
      <c r="D151">
        <v>3.4620000000000002</v>
      </c>
      <c r="E151">
        <v>0.68899999999999995</v>
      </c>
      <c r="F151">
        <v>0.38200000000000001</v>
      </c>
      <c r="G151">
        <v>0.53900000000000003</v>
      </c>
      <c r="H151">
        <v>8.7999999999999995E-2</v>
      </c>
      <c r="I151">
        <v>0.376</v>
      </c>
      <c r="J151" s="1" t="s">
        <v>295</v>
      </c>
      <c r="K151">
        <v>2018</v>
      </c>
    </row>
    <row r="152" spans="1:11" x14ac:dyDescent="0.3">
      <c r="A152">
        <v>151</v>
      </c>
      <c r="B152" s="1" t="s">
        <v>175</v>
      </c>
      <c r="C152" s="1" t="str">
        <f>VLOOKUP(_2018[[#This Row],[Country or region]],'2016'!$1:$1048576,2,FALSE)</f>
        <v>Sub-Saharan Africa</v>
      </c>
      <c r="D152">
        <v>3.4079999999999999</v>
      </c>
      <c r="E152">
        <v>0.33200000000000002</v>
      </c>
      <c r="F152">
        <v>0.89600000000000002</v>
      </c>
      <c r="G152">
        <v>0.4</v>
      </c>
      <c r="H152">
        <v>0.63600000000000001</v>
      </c>
      <c r="I152">
        <v>0.2</v>
      </c>
      <c r="J152" s="1" t="s">
        <v>316</v>
      </c>
      <c r="K152">
        <v>2018</v>
      </c>
    </row>
    <row r="153" spans="1:11" x14ac:dyDescent="0.3">
      <c r="A153">
        <v>152</v>
      </c>
      <c r="B153" s="1" t="s">
        <v>157</v>
      </c>
      <c r="C153" s="1" t="str">
        <f>VLOOKUP(_2018[[#This Row],[Country or region]],'2016'!$1:$1048576,2,FALSE)</f>
        <v>Middle East and Northern Africa</v>
      </c>
      <c r="D153">
        <v>3.355</v>
      </c>
      <c r="E153">
        <v>0.442</v>
      </c>
      <c r="F153">
        <v>1.073</v>
      </c>
      <c r="G153">
        <v>0.34300000000000003</v>
      </c>
      <c r="H153">
        <v>0.24399999999999999</v>
      </c>
      <c r="I153">
        <v>8.3000000000000004E-2</v>
      </c>
      <c r="J153" s="1" t="s">
        <v>247</v>
      </c>
      <c r="K153">
        <v>2018</v>
      </c>
    </row>
    <row r="154" spans="1:11" x14ac:dyDescent="0.3">
      <c r="A154">
        <v>153</v>
      </c>
      <c r="B154" s="1" t="s">
        <v>167</v>
      </c>
      <c r="C154" s="1" t="str">
        <f>VLOOKUP(_2018[[#This Row],[Country or region]],'2016'!$1:$1048576,2,FALSE)</f>
        <v>Sub-Saharan Africa</v>
      </c>
      <c r="D154">
        <v>3.3029999999999999</v>
      </c>
      <c r="E154">
        <v>0.45500000000000002</v>
      </c>
      <c r="F154">
        <v>0.99099999999999999</v>
      </c>
      <c r="G154">
        <v>0.38100000000000001</v>
      </c>
      <c r="H154">
        <v>0.48099999999999998</v>
      </c>
      <c r="I154">
        <v>0.27</v>
      </c>
      <c r="J154" s="1" t="s">
        <v>317</v>
      </c>
      <c r="K154">
        <v>2018</v>
      </c>
    </row>
    <row r="155" spans="1:11" x14ac:dyDescent="0.3">
      <c r="A155">
        <v>154</v>
      </c>
      <c r="B155" s="1" t="s">
        <v>187</v>
      </c>
      <c r="C155" s="1" t="str">
        <f>VLOOKUP(_2018[[#This Row],[Country or region]],'2016'!$1:$1048576,2,FALSE)</f>
        <v>Sub-Saharan Africa</v>
      </c>
      <c r="D155">
        <v>3.254</v>
      </c>
      <c r="E155">
        <v>0.33700000000000002</v>
      </c>
      <c r="F155">
        <v>0.60799999999999998</v>
      </c>
      <c r="G155">
        <v>0.17699999999999999</v>
      </c>
      <c r="H155">
        <v>0.112</v>
      </c>
      <c r="I155">
        <v>0.224</v>
      </c>
      <c r="J155" s="1" t="s">
        <v>250</v>
      </c>
      <c r="K155">
        <v>2018</v>
      </c>
    </row>
    <row r="156" spans="1:11" x14ac:dyDescent="0.3">
      <c r="A156">
        <v>155</v>
      </c>
      <c r="B156" s="1" t="s">
        <v>169</v>
      </c>
      <c r="C156" s="1" t="s">
        <v>91</v>
      </c>
      <c r="D156">
        <v>3.0830000000000002</v>
      </c>
      <c r="E156">
        <v>2.4E-2</v>
      </c>
      <c r="F156">
        <v>0</v>
      </c>
      <c r="G156">
        <v>0.01</v>
      </c>
      <c r="H156">
        <v>0.30499999999999999</v>
      </c>
      <c r="I156">
        <v>0.218</v>
      </c>
      <c r="J156" s="1" t="s">
        <v>318</v>
      </c>
      <c r="K156">
        <v>2018</v>
      </c>
    </row>
    <row r="157" spans="1:11" x14ac:dyDescent="0.3">
      <c r="A157">
        <v>156</v>
      </c>
      <c r="B157" s="1" t="s">
        <v>178</v>
      </c>
      <c r="C157" s="1" t="str">
        <f>VLOOKUP(_2018[[#This Row],[Country or region]],'2016'!$1:$1048576,2,FALSE)</f>
        <v>Sub-Saharan Africa</v>
      </c>
      <c r="D157">
        <v>2.9049999999999998</v>
      </c>
      <c r="E157">
        <v>9.0999999999999998E-2</v>
      </c>
      <c r="F157">
        <v>0.627</v>
      </c>
      <c r="G157">
        <v>0.14499999999999999</v>
      </c>
      <c r="H157">
        <v>6.5000000000000002E-2</v>
      </c>
      <c r="I157">
        <v>0.14899999999999999</v>
      </c>
      <c r="J157" s="1" t="s">
        <v>290</v>
      </c>
      <c r="K157">
        <v>2018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C80C-5ED6-452A-A2E4-43AD9BFEA15D}">
  <dimension ref="A1:K157"/>
  <sheetViews>
    <sheetView tabSelected="1" workbookViewId="0">
      <selection activeCell="L3" sqref="L3"/>
    </sheetView>
  </sheetViews>
  <sheetFormatPr defaultRowHeight="14.4" x14ac:dyDescent="0.3"/>
  <cols>
    <col min="1" max="1" width="13.21875" bestFit="1" customWidth="1"/>
    <col min="2" max="2" width="20.5546875" bestFit="1" customWidth="1"/>
    <col min="3" max="3" width="20.5546875" customWidth="1"/>
    <col min="4" max="4" width="8" bestFit="1" customWidth="1"/>
    <col min="5" max="5" width="15.77734375" bestFit="1" customWidth="1"/>
    <col min="6" max="6" width="15.33203125" bestFit="1" customWidth="1"/>
    <col min="7" max="7" width="22.77734375" bestFit="1" customWidth="1"/>
    <col min="8" max="8" width="27.88671875" bestFit="1" customWidth="1"/>
    <col min="9" max="9" width="12.21875" bestFit="1" customWidth="1"/>
    <col min="10" max="10" width="23.77734375" bestFit="1" customWidth="1"/>
  </cols>
  <sheetData>
    <row r="1" spans="1:11" x14ac:dyDescent="0.3">
      <c r="A1" t="s">
        <v>198</v>
      </c>
      <c r="B1" t="s">
        <v>199</v>
      </c>
      <c r="C1" t="s">
        <v>1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10</v>
      </c>
      <c r="J1" t="s">
        <v>205</v>
      </c>
      <c r="K1" t="s">
        <v>321</v>
      </c>
    </row>
    <row r="2" spans="1:11" x14ac:dyDescent="0.3">
      <c r="A2">
        <v>1</v>
      </c>
      <c r="B2" s="1" t="s">
        <v>19</v>
      </c>
      <c r="C2" s="1" t="str">
        <f>VLOOKUP(_2019[[#This Row],[Country or region]],'2016'!$1:$1048576,2,FALSE)</f>
        <v>Western Europe</v>
      </c>
      <c r="D2">
        <v>7.7690000000000001</v>
      </c>
      <c r="E2">
        <v>1.34</v>
      </c>
      <c r="F2">
        <v>1.587</v>
      </c>
      <c r="G2">
        <v>0.98599999999999999</v>
      </c>
      <c r="H2">
        <v>0.59599999999999997</v>
      </c>
      <c r="I2">
        <v>0.153</v>
      </c>
      <c r="J2">
        <v>0.39300000000000002</v>
      </c>
      <c r="K2">
        <v>2019</v>
      </c>
    </row>
    <row r="3" spans="1:11" x14ac:dyDescent="0.3">
      <c r="A3">
        <v>2</v>
      </c>
      <c r="B3" s="1" t="s">
        <v>15</v>
      </c>
      <c r="C3" s="1" t="str">
        <f>VLOOKUP(_2019[[#This Row],[Country or region]],'2016'!$1:$1048576,2,FALSE)</f>
        <v>Western Europe</v>
      </c>
      <c r="D3">
        <v>7.6</v>
      </c>
      <c r="E3">
        <v>1.383</v>
      </c>
      <c r="F3">
        <v>1.573</v>
      </c>
      <c r="G3">
        <v>0.996</v>
      </c>
      <c r="H3">
        <v>0.59199999999999997</v>
      </c>
      <c r="I3">
        <v>0.252</v>
      </c>
      <c r="J3">
        <v>0.41</v>
      </c>
      <c r="K3">
        <v>2019</v>
      </c>
    </row>
    <row r="4" spans="1:11" x14ac:dyDescent="0.3">
      <c r="A4">
        <v>3</v>
      </c>
      <c r="B4" s="1" t="s">
        <v>16</v>
      </c>
      <c r="C4" s="1" t="str">
        <f>VLOOKUP(_2019[[#This Row],[Country or region]],'2016'!$1:$1048576,2,FALSE)</f>
        <v>Western Europe</v>
      </c>
      <c r="D4">
        <v>7.5540000000000003</v>
      </c>
      <c r="E4">
        <v>1.488</v>
      </c>
      <c r="F4">
        <v>1.5820000000000001</v>
      </c>
      <c r="G4">
        <v>1.028</v>
      </c>
      <c r="H4">
        <v>0.60299999999999998</v>
      </c>
      <c r="I4">
        <v>0.27100000000000002</v>
      </c>
      <c r="J4">
        <v>0.34100000000000003</v>
      </c>
      <c r="K4">
        <v>2019</v>
      </c>
    </row>
    <row r="5" spans="1:11" x14ac:dyDescent="0.3">
      <c r="A5">
        <v>4</v>
      </c>
      <c r="B5" s="1" t="s">
        <v>14</v>
      </c>
      <c r="C5" s="1" t="str">
        <f>VLOOKUP(_2019[[#This Row],[Country or region]],'2016'!$1:$1048576,2,FALSE)</f>
        <v>Western Europe</v>
      </c>
      <c r="D5">
        <v>7.4939999999999998</v>
      </c>
      <c r="E5">
        <v>1.38</v>
      </c>
      <c r="F5">
        <v>1.6240000000000001</v>
      </c>
      <c r="G5">
        <v>1.026</v>
      </c>
      <c r="H5">
        <v>0.59099999999999997</v>
      </c>
      <c r="I5">
        <v>0.35399999999999998</v>
      </c>
      <c r="J5">
        <v>0.11799999999999999</v>
      </c>
      <c r="K5">
        <v>2019</v>
      </c>
    </row>
    <row r="6" spans="1:11" x14ac:dyDescent="0.3">
      <c r="A6">
        <v>5</v>
      </c>
      <c r="B6" s="1" t="s">
        <v>20</v>
      </c>
      <c r="C6" s="1" t="str">
        <f>VLOOKUP(_2019[[#This Row],[Country or region]],'2016'!$1:$1048576,2,FALSE)</f>
        <v>Western Europe</v>
      </c>
      <c r="D6">
        <v>7.4880000000000004</v>
      </c>
      <c r="E6">
        <v>1.3959999999999999</v>
      </c>
      <c r="F6">
        <v>1.522</v>
      </c>
      <c r="G6">
        <v>0.999</v>
      </c>
      <c r="H6">
        <v>0.55700000000000005</v>
      </c>
      <c r="I6">
        <v>0.32200000000000001</v>
      </c>
      <c r="J6">
        <v>0.29799999999999999</v>
      </c>
      <c r="K6">
        <v>2019</v>
      </c>
    </row>
    <row r="7" spans="1:11" x14ac:dyDescent="0.3">
      <c r="A7">
        <v>6</v>
      </c>
      <c r="B7" s="1" t="s">
        <v>12</v>
      </c>
      <c r="C7" s="1" t="str">
        <f>VLOOKUP(_2019[[#This Row],[Country or region]],'2016'!$1:$1048576,2,FALSE)</f>
        <v>Western Europe</v>
      </c>
      <c r="D7">
        <v>7.48</v>
      </c>
      <c r="E7">
        <v>1.452</v>
      </c>
      <c r="F7">
        <v>1.526</v>
      </c>
      <c r="G7">
        <v>1.052</v>
      </c>
      <c r="H7">
        <v>0.57199999999999995</v>
      </c>
      <c r="I7">
        <v>0.26300000000000001</v>
      </c>
      <c r="J7">
        <v>0.34300000000000003</v>
      </c>
      <c r="K7">
        <v>2019</v>
      </c>
    </row>
    <row r="8" spans="1:11" x14ac:dyDescent="0.3">
      <c r="A8">
        <v>7</v>
      </c>
      <c r="B8" s="1" t="s">
        <v>21</v>
      </c>
      <c r="C8" s="1" t="str">
        <f>VLOOKUP(_2019[[#This Row],[Country or region]],'2016'!$1:$1048576,2,FALSE)</f>
        <v>Western Europe</v>
      </c>
      <c r="D8">
        <v>7.343</v>
      </c>
      <c r="E8">
        <v>1.387</v>
      </c>
      <c r="F8">
        <v>1.4870000000000001</v>
      </c>
      <c r="G8">
        <v>1.0089999999999999</v>
      </c>
      <c r="H8">
        <v>0.57399999999999995</v>
      </c>
      <c r="I8">
        <v>0.26700000000000002</v>
      </c>
      <c r="J8">
        <v>0.373</v>
      </c>
      <c r="K8">
        <v>2019</v>
      </c>
    </row>
    <row r="9" spans="1:11" x14ac:dyDescent="0.3">
      <c r="A9">
        <v>8</v>
      </c>
      <c r="B9" s="1" t="s">
        <v>22</v>
      </c>
      <c r="C9" s="1" t="str">
        <f>VLOOKUP(_2019[[#This Row],[Country or region]],'2016'!$1:$1048576,2,FALSE)</f>
        <v>Australia and New Zealand</v>
      </c>
      <c r="D9">
        <v>7.3070000000000004</v>
      </c>
      <c r="E9">
        <v>1.3029999999999999</v>
      </c>
      <c r="F9">
        <v>1.5569999999999999</v>
      </c>
      <c r="G9">
        <v>1.026</v>
      </c>
      <c r="H9">
        <v>0.58499999999999996</v>
      </c>
      <c r="I9">
        <v>0.33</v>
      </c>
      <c r="J9">
        <v>0.38</v>
      </c>
      <c r="K9">
        <v>2019</v>
      </c>
    </row>
    <row r="10" spans="1:11" x14ac:dyDescent="0.3">
      <c r="A10">
        <v>9</v>
      </c>
      <c r="B10" s="1" t="s">
        <v>17</v>
      </c>
      <c r="C10" s="1" t="str">
        <f>VLOOKUP(_2019[[#This Row],[Country or region]],'2016'!$1:$1048576,2,FALSE)</f>
        <v>North America</v>
      </c>
      <c r="D10">
        <v>7.2779999999999996</v>
      </c>
      <c r="E10">
        <v>1.365</v>
      </c>
      <c r="F10">
        <v>1.5049999999999999</v>
      </c>
      <c r="G10">
        <v>1.0389999999999999</v>
      </c>
      <c r="H10">
        <v>0.58399999999999996</v>
      </c>
      <c r="I10">
        <v>0.28499999999999998</v>
      </c>
      <c r="J10">
        <v>0.308</v>
      </c>
      <c r="K10">
        <v>2019</v>
      </c>
    </row>
    <row r="11" spans="1:11" x14ac:dyDescent="0.3">
      <c r="A11">
        <v>10</v>
      </c>
      <c r="B11" s="1" t="s">
        <v>29</v>
      </c>
      <c r="C11" s="1" t="str">
        <f>VLOOKUP(_2019[[#This Row],[Country or region]],'2016'!$1:$1048576,2,FALSE)</f>
        <v>Western Europe</v>
      </c>
      <c r="D11">
        <v>7.2460000000000004</v>
      </c>
      <c r="E11">
        <v>1.3759999999999999</v>
      </c>
      <c r="F11">
        <v>1.4750000000000001</v>
      </c>
      <c r="G11">
        <v>1.016</v>
      </c>
      <c r="H11">
        <v>0.53200000000000003</v>
      </c>
      <c r="I11">
        <v>0.24399999999999999</v>
      </c>
      <c r="J11">
        <v>0.22600000000000001</v>
      </c>
      <c r="K11">
        <v>2019</v>
      </c>
    </row>
    <row r="12" spans="1:11" x14ac:dyDescent="0.3">
      <c r="A12">
        <v>11</v>
      </c>
      <c r="B12" s="1" t="s">
        <v>24</v>
      </c>
      <c r="C12" s="1" t="str">
        <f>VLOOKUP(_2019[[#This Row],[Country or region]],'2016'!$1:$1048576,2,FALSE)</f>
        <v>Australia and New Zealand</v>
      </c>
      <c r="D12">
        <v>7.2279999999999998</v>
      </c>
      <c r="E12">
        <v>1.3720000000000001</v>
      </c>
      <c r="F12">
        <v>1.548</v>
      </c>
      <c r="G12">
        <v>1.036</v>
      </c>
      <c r="H12">
        <v>0.55700000000000005</v>
      </c>
      <c r="I12">
        <v>0.33200000000000002</v>
      </c>
      <c r="J12">
        <v>0.28999999999999998</v>
      </c>
      <c r="K12">
        <v>2019</v>
      </c>
    </row>
    <row r="13" spans="1:11" x14ac:dyDescent="0.3">
      <c r="A13">
        <v>12</v>
      </c>
      <c r="B13" s="1" t="s">
        <v>27</v>
      </c>
      <c r="C13" s="1" t="str">
        <f>VLOOKUP(_2019[[#This Row],[Country or region]],'2016'!$1:$1048576,2,FALSE)</f>
        <v>Latin America and Caribbean</v>
      </c>
      <c r="D13">
        <v>7.1669999999999998</v>
      </c>
      <c r="E13">
        <v>1.034</v>
      </c>
      <c r="F13">
        <v>1.4410000000000001</v>
      </c>
      <c r="G13">
        <v>0.96299999999999997</v>
      </c>
      <c r="H13">
        <v>0.55800000000000005</v>
      </c>
      <c r="I13">
        <v>0.14399999999999999</v>
      </c>
      <c r="J13">
        <v>9.2999999999999999E-2</v>
      </c>
      <c r="K13">
        <v>2019</v>
      </c>
    </row>
    <row r="14" spans="1:11" x14ac:dyDescent="0.3">
      <c r="A14">
        <v>13</v>
      </c>
      <c r="B14" s="1" t="s">
        <v>25</v>
      </c>
      <c r="C14" s="1" t="str">
        <f>VLOOKUP(_2019[[#This Row],[Country or region]],'2016'!$1:$1048576,2,FALSE)</f>
        <v>Middle East and Northern Africa</v>
      </c>
      <c r="D14">
        <v>7.1390000000000002</v>
      </c>
      <c r="E14">
        <v>1.276</v>
      </c>
      <c r="F14">
        <v>1.4550000000000001</v>
      </c>
      <c r="G14">
        <v>1.0289999999999999</v>
      </c>
      <c r="H14">
        <v>0.371</v>
      </c>
      <c r="I14">
        <v>0.26100000000000001</v>
      </c>
      <c r="J14">
        <v>8.2000000000000003E-2</v>
      </c>
      <c r="K14">
        <v>2019</v>
      </c>
    </row>
    <row r="15" spans="1:11" x14ac:dyDescent="0.3">
      <c r="A15">
        <v>14</v>
      </c>
      <c r="B15" s="1" t="s">
        <v>33</v>
      </c>
      <c r="C15" s="1" t="str">
        <f>VLOOKUP(_2019[[#This Row],[Country or region]],'2016'!$1:$1048576,2,FALSE)</f>
        <v>Western Europe</v>
      </c>
      <c r="D15">
        <v>7.09</v>
      </c>
      <c r="E15">
        <v>1.609</v>
      </c>
      <c r="F15">
        <v>1.4790000000000001</v>
      </c>
      <c r="G15">
        <v>1.012</v>
      </c>
      <c r="H15">
        <v>0.52600000000000002</v>
      </c>
      <c r="I15">
        <v>0.19400000000000001</v>
      </c>
      <c r="J15">
        <v>0.316</v>
      </c>
      <c r="K15">
        <v>2019</v>
      </c>
    </row>
    <row r="16" spans="1:11" x14ac:dyDescent="0.3">
      <c r="A16">
        <v>15</v>
      </c>
      <c r="B16" s="1" t="s">
        <v>37</v>
      </c>
      <c r="C16" s="1" t="str">
        <f>VLOOKUP(_2019[[#This Row],[Country or region]],'2016'!$1:$1048576,2,FALSE)</f>
        <v>Western Europe</v>
      </c>
      <c r="D16">
        <v>7.0540000000000003</v>
      </c>
      <c r="E16">
        <v>1.333</v>
      </c>
      <c r="F16">
        <v>1.538</v>
      </c>
      <c r="G16">
        <v>0.996</v>
      </c>
      <c r="H16">
        <v>0.45</v>
      </c>
      <c r="I16">
        <v>0.34799999999999998</v>
      </c>
      <c r="J16">
        <v>0.27800000000000002</v>
      </c>
      <c r="K16">
        <v>2019</v>
      </c>
    </row>
    <row r="17" spans="1:11" x14ac:dyDescent="0.3">
      <c r="A17">
        <v>16</v>
      </c>
      <c r="B17" s="1" t="s">
        <v>34</v>
      </c>
      <c r="C17" s="1" t="str">
        <f>VLOOKUP(_2019[[#This Row],[Country or region]],'2016'!$1:$1048576,2,FALSE)</f>
        <v>Western Europe</v>
      </c>
      <c r="D17">
        <v>7.0209999999999999</v>
      </c>
      <c r="E17">
        <v>1.4990000000000001</v>
      </c>
      <c r="F17">
        <v>1.5529999999999999</v>
      </c>
      <c r="G17">
        <v>0.999</v>
      </c>
      <c r="H17">
        <v>0.51600000000000001</v>
      </c>
      <c r="I17">
        <v>0.29799999999999999</v>
      </c>
      <c r="J17">
        <v>0.31</v>
      </c>
      <c r="K17">
        <v>2019</v>
      </c>
    </row>
    <row r="18" spans="1:11" x14ac:dyDescent="0.3">
      <c r="A18">
        <v>17</v>
      </c>
      <c r="B18" s="1" t="s">
        <v>43</v>
      </c>
      <c r="C18" s="1" t="str">
        <f>VLOOKUP(_2019[[#This Row],[Country or region]],'2016'!$1:$1048576,2,FALSE)</f>
        <v>Western Europe</v>
      </c>
      <c r="D18">
        <v>6.9850000000000003</v>
      </c>
      <c r="E18">
        <v>1.373</v>
      </c>
      <c r="F18">
        <v>1.454</v>
      </c>
      <c r="G18">
        <v>0.98699999999999999</v>
      </c>
      <c r="H18">
        <v>0.495</v>
      </c>
      <c r="I18">
        <v>0.26100000000000001</v>
      </c>
      <c r="J18">
        <v>0.26500000000000001</v>
      </c>
      <c r="K18">
        <v>2019</v>
      </c>
    </row>
    <row r="19" spans="1:11" x14ac:dyDescent="0.3">
      <c r="A19">
        <v>18</v>
      </c>
      <c r="B19" s="1" t="s">
        <v>35</v>
      </c>
      <c r="C19" s="1" t="str">
        <f>VLOOKUP(_2019[[#This Row],[Country or region]],'2016'!$1:$1048576,2,FALSE)</f>
        <v>Western Europe</v>
      </c>
      <c r="D19">
        <v>6.923</v>
      </c>
      <c r="E19">
        <v>1.3560000000000001</v>
      </c>
      <c r="F19">
        <v>1.504</v>
      </c>
      <c r="G19">
        <v>0.98599999999999999</v>
      </c>
      <c r="H19">
        <v>0.47299999999999998</v>
      </c>
      <c r="I19">
        <v>0.16</v>
      </c>
      <c r="J19">
        <v>0.21</v>
      </c>
      <c r="K19">
        <v>2019</v>
      </c>
    </row>
    <row r="20" spans="1:11" x14ac:dyDescent="0.3">
      <c r="A20">
        <v>19</v>
      </c>
      <c r="B20" s="1" t="s">
        <v>31</v>
      </c>
      <c r="C20" s="1" t="str">
        <f>VLOOKUP(_2019[[#This Row],[Country or region]],'2016'!$1:$1048576,2,FALSE)</f>
        <v>North America</v>
      </c>
      <c r="D20">
        <v>6.8920000000000003</v>
      </c>
      <c r="E20">
        <v>1.4330000000000001</v>
      </c>
      <c r="F20">
        <v>1.4570000000000001</v>
      </c>
      <c r="G20">
        <v>0.874</v>
      </c>
      <c r="H20">
        <v>0.45400000000000001</v>
      </c>
      <c r="I20">
        <v>0.28000000000000003</v>
      </c>
      <c r="J20">
        <v>0.128</v>
      </c>
      <c r="K20">
        <v>2019</v>
      </c>
    </row>
    <row r="21" spans="1:11" x14ac:dyDescent="0.3">
      <c r="A21">
        <v>20</v>
      </c>
      <c r="B21" s="1" t="s">
        <v>48</v>
      </c>
      <c r="C21" s="1" t="str">
        <f>VLOOKUP(_2019[[#This Row],[Country or region]],'2016'!$1:$1048576,2,FALSE)</f>
        <v>Central and Eastern Europe</v>
      </c>
      <c r="D21">
        <v>6.8520000000000003</v>
      </c>
      <c r="E21">
        <v>1.2689999999999999</v>
      </c>
      <c r="F21">
        <v>1.4870000000000001</v>
      </c>
      <c r="G21">
        <v>0.92</v>
      </c>
      <c r="H21">
        <v>0.45700000000000002</v>
      </c>
      <c r="I21">
        <v>4.5999999999999999E-2</v>
      </c>
      <c r="J21">
        <v>3.5999999999999997E-2</v>
      </c>
      <c r="K21">
        <v>2019</v>
      </c>
    </row>
    <row r="22" spans="1:11" x14ac:dyDescent="0.3">
      <c r="A22">
        <v>21</v>
      </c>
      <c r="B22" s="1" t="s">
        <v>36</v>
      </c>
      <c r="C22" s="1" t="str">
        <f>VLOOKUP(_2019[[#This Row],[Country or region]],'2016'!$1:$1048576,2,FALSE)</f>
        <v>Middle East and Northern Africa</v>
      </c>
      <c r="D22">
        <v>6.8250000000000002</v>
      </c>
      <c r="E22">
        <v>1.5029999999999999</v>
      </c>
      <c r="F22">
        <v>1.31</v>
      </c>
      <c r="G22">
        <v>0.82499999999999996</v>
      </c>
      <c r="H22">
        <v>0.59799999999999998</v>
      </c>
      <c r="I22">
        <v>0.26200000000000001</v>
      </c>
      <c r="J22">
        <v>0.182</v>
      </c>
      <c r="K22">
        <v>2019</v>
      </c>
    </row>
    <row r="23" spans="1:11" x14ac:dyDescent="0.3">
      <c r="A23">
        <v>22</v>
      </c>
      <c r="B23" s="1" t="s">
        <v>55</v>
      </c>
      <c r="C23" s="1" t="str">
        <f>VLOOKUP(_2019[[#This Row],[Country or region]],'2016'!$1:$1048576,2,FALSE)</f>
        <v>Western Europe</v>
      </c>
      <c r="D23">
        <v>6.726</v>
      </c>
      <c r="E23">
        <v>1.3</v>
      </c>
      <c r="F23">
        <v>1.52</v>
      </c>
      <c r="G23">
        <v>0.999</v>
      </c>
      <c r="H23">
        <v>0.56399999999999995</v>
      </c>
      <c r="I23">
        <v>0.375</v>
      </c>
      <c r="J23">
        <v>0.151</v>
      </c>
      <c r="K23">
        <v>2019</v>
      </c>
    </row>
    <row r="24" spans="1:11" x14ac:dyDescent="0.3">
      <c r="A24">
        <v>23</v>
      </c>
      <c r="B24" s="1" t="s">
        <v>30</v>
      </c>
      <c r="C24" s="1" t="str">
        <f>VLOOKUP(_2019[[#This Row],[Country or region]],'2016'!$1:$1048576,2,FALSE)</f>
        <v>Latin America and Caribbean</v>
      </c>
      <c r="D24">
        <v>6.5949999999999998</v>
      </c>
      <c r="E24">
        <v>1.07</v>
      </c>
      <c r="F24">
        <v>1.323</v>
      </c>
      <c r="G24">
        <v>0.86099999999999999</v>
      </c>
      <c r="H24">
        <v>0.433</v>
      </c>
      <c r="I24">
        <v>7.3999999999999996E-2</v>
      </c>
      <c r="J24">
        <v>7.2999999999999995E-2</v>
      </c>
      <c r="K24">
        <v>2019</v>
      </c>
    </row>
    <row r="25" spans="1:11" x14ac:dyDescent="0.3">
      <c r="A25">
        <v>24</v>
      </c>
      <c r="B25" s="1" t="s">
        <v>46</v>
      </c>
      <c r="C25" s="1" t="str">
        <f>VLOOKUP(_2019[[#This Row],[Country or region]],'2016'!$1:$1048576,2,FALSE)</f>
        <v>Western Europe</v>
      </c>
      <c r="D25">
        <v>6.5919999999999996</v>
      </c>
      <c r="E25">
        <v>1.3240000000000001</v>
      </c>
      <c r="F25">
        <v>1.472</v>
      </c>
      <c r="G25">
        <v>1.0449999999999999</v>
      </c>
      <c r="H25">
        <v>0.436</v>
      </c>
      <c r="I25">
        <v>0.111</v>
      </c>
      <c r="J25">
        <v>0.183</v>
      </c>
      <c r="K25">
        <v>2019</v>
      </c>
    </row>
    <row r="26" spans="1:11" x14ac:dyDescent="0.3">
      <c r="A26">
        <v>25</v>
      </c>
      <c r="B26" s="1" t="s">
        <v>56</v>
      </c>
      <c r="C26" s="1" t="str">
        <f>VLOOKUP(_2019[[#This Row],[Country or region]],'2016'!$1:$1048576,2,FALSE)</f>
        <v>Eastern Asia</v>
      </c>
      <c r="D26">
        <v>6.4459999999999997</v>
      </c>
      <c r="E26">
        <v>1.3680000000000001</v>
      </c>
      <c r="F26">
        <v>1.43</v>
      </c>
      <c r="G26">
        <v>0.91400000000000003</v>
      </c>
      <c r="H26">
        <v>0.35099999999999998</v>
      </c>
      <c r="I26">
        <v>0.24199999999999999</v>
      </c>
      <c r="J26">
        <v>9.7000000000000003E-2</v>
      </c>
      <c r="K26">
        <v>2019</v>
      </c>
    </row>
    <row r="27" spans="1:11" x14ac:dyDescent="0.3">
      <c r="A27">
        <v>26</v>
      </c>
      <c r="B27" s="1" t="s">
        <v>44</v>
      </c>
      <c r="C27" s="1" t="str">
        <f>VLOOKUP(_2019[[#This Row],[Country or region]],'2016'!$1:$1048576,2,FALSE)</f>
        <v>Latin America and Caribbean</v>
      </c>
      <c r="D27">
        <v>6.444</v>
      </c>
      <c r="E27">
        <v>1.159</v>
      </c>
      <c r="F27">
        <v>1.369</v>
      </c>
      <c r="G27">
        <v>0.92</v>
      </c>
      <c r="H27">
        <v>0.35699999999999998</v>
      </c>
      <c r="I27">
        <v>0.187</v>
      </c>
      <c r="J27">
        <v>5.6000000000000001E-2</v>
      </c>
      <c r="K27">
        <v>2019</v>
      </c>
    </row>
    <row r="28" spans="1:11" x14ac:dyDescent="0.3">
      <c r="A28">
        <v>27</v>
      </c>
      <c r="B28" s="1" t="s">
        <v>62</v>
      </c>
      <c r="C28" s="1" t="str">
        <f>VLOOKUP(_2019[[#This Row],[Country or region]],'2016'!$1:$1048576,2,FALSE)</f>
        <v>Latin America and Caribbean</v>
      </c>
      <c r="D28">
        <v>6.4359999999999999</v>
      </c>
      <c r="E28">
        <v>0.8</v>
      </c>
      <c r="F28">
        <v>1.2689999999999999</v>
      </c>
      <c r="G28">
        <v>0.746</v>
      </c>
      <c r="H28">
        <v>0.53500000000000003</v>
      </c>
      <c r="I28">
        <v>0.17499999999999999</v>
      </c>
      <c r="J28">
        <v>7.8E-2</v>
      </c>
      <c r="K28">
        <v>2019</v>
      </c>
    </row>
    <row r="29" spans="1:11" x14ac:dyDescent="0.3">
      <c r="A29">
        <v>28</v>
      </c>
      <c r="B29" s="1" t="s">
        <v>53</v>
      </c>
      <c r="C29" s="1" t="str">
        <f>VLOOKUP(_2019[[#This Row],[Country or region]],'2016'!$1:$1048576,2,FALSE)</f>
        <v>Middle East and Northern Africa</v>
      </c>
      <c r="D29">
        <v>6.375</v>
      </c>
      <c r="E29">
        <v>1.403</v>
      </c>
      <c r="F29">
        <v>1.357</v>
      </c>
      <c r="G29">
        <v>0.79500000000000004</v>
      </c>
      <c r="H29">
        <v>0.439</v>
      </c>
      <c r="I29">
        <v>0.08</v>
      </c>
      <c r="J29">
        <v>0.13200000000000001</v>
      </c>
      <c r="K29">
        <v>2019</v>
      </c>
    </row>
    <row r="30" spans="1:11" x14ac:dyDescent="0.3">
      <c r="A30">
        <v>29</v>
      </c>
      <c r="B30" s="1" t="s">
        <v>45</v>
      </c>
      <c r="C30" s="1" t="str">
        <f>VLOOKUP(_2019[[#This Row],[Country or region]],'2016'!$1:$1048576,2,FALSE)</f>
        <v>Middle East and Northern Africa</v>
      </c>
      <c r="D30">
        <v>6.3739999999999997</v>
      </c>
      <c r="E30">
        <v>1.6839999999999999</v>
      </c>
      <c r="F30">
        <v>1.3129999999999999</v>
      </c>
      <c r="G30">
        <v>0.871</v>
      </c>
      <c r="H30">
        <v>0.55500000000000005</v>
      </c>
      <c r="I30">
        <v>0.22</v>
      </c>
      <c r="J30">
        <v>0.16700000000000001</v>
      </c>
      <c r="K30">
        <v>2019</v>
      </c>
    </row>
    <row r="31" spans="1:11" x14ac:dyDescent="0.3">
      <c r="A31">
        <v>30</v>
      </c>
      <c r="B31" s="1" t="s">
        <v>54</v>
      </c>
      <c r="C31" s="1" t="str">
        <f>VLOOKUP(_2019[[#This Row],[Country or region]],'2016'!$1:$1048576,2,FALSE)</f>
        <v>Western Europe</v>
      </c>
      <c r="D31">
        <v>6.3540000000000001</v>
      </c>
      <c r="E31">
        <v>1.286</v>
      </c>
      <c r="F31">
        <v>1.484</v>
      </c>
      <c r="G31">
        <v>1.0620000000000001</v>
      </c>
      <c r="H31">
        <v>0.36199999999999999</v>
      </c>
      <c r="I31">
        <v>0.153</v>
      </c>
      <c r="J31">
        <v>7.9000000000000001E-2</v>
      </c>
      <c r="K31">
        <v>2019</v>
      </c>
    </row>
    <row r="32" spans="1:11" x14ac:dyDescent="0.3">
      <c r="A32">
        <v>31</v>
      </c>
      <c r="B32" s="1" t="s">
        <v>42</v>
      </c>
      <c r="C32" s="1" t="str">
        <f>VLOOKUP(_2019[[#This Row],[Country or region]],'2016'!$1:$1048576,2,FALSE)</f>
        <v>Latin America and Caribbean</v>
      </c>
      <c r="D32">
        <v>6.3209999999999997</v>
      </c>
      <c r="E32">
        <v>1.149</v>
      </c>
      <c r="F32">
        <v>1.4419999999999999</v>
      </c>
      <c r="G32">
        <v>0.91</v>
      </c>
      <c r="H32">
        <v>0.51600000000000001</v>
      </c>
      <c r="I32">
        <v>0.109</v>
      </c>
      <c r="J32">
        <v>5.3999999999999999E-2</v>
      </c>
      <c r="K32">
        <v>2019</v>
      </c>
    </row>
    <row r="33" spans="1:11" x14ac:dyDescent="0.3">
      <c r="A33">
        <v>32</v>
      </c>
      <c r="B33" s="1" t="s">
        <v>32</v>
      </c>
      <c r="C33" s="1" t="str">
        <f>VLOOKUP(_2019[[#This Row],[Country or region]],'2016'!$1:$1048576,2,FALSE)</f>
        <v>Latin America and Caribbean</v>
      </c>
      <c r="D33">
        <v>6.3</v>
      </c>
      <c r="E33">
        <v>1.004</v>
      </c>
      <c r="F33">
        <v>1.4390000000000001</v>
      </c>
      <c r="G33">
        <v>0.80200000000000005</v>
      </c>
      <c r="H33">
        <v>0.39</v>
      </c>
      <c r="I33">
        <v>9.9000000000000005E-2</v>
      </c>
      <c r="J33">
        <v>8.5999999999999993E-2</v>
      </c>
      <c r="K33">
        <v>2019</v>
      </c>
    </row>
    <row r="34" spans="1:11" x14ac:dyDescent="0.3">
      <c r="A34">
        <v>33</v>
      </c>
      <c r="B34" s="1" t="s">
        <v>50</v>
      </c>
      <c r="C34" s="1" t="str">
        <f>VLOOKUP(_2019[[#This Row],[Country or region]],'2016'!$1:$1048576,2,FALSE)</f>
        <v>Latin America and Caribbean</v>
      </c>
      <c r="D34">
        <v>6.2930000000000001</v>
      </c>
      <c r="E34">
        <v>1.1240000000000001</v>
      </c>
      <c r="F34">
        <v>1.4650000000000001</v>
      </c>
      <c r="G34">
        <v>0.89100000000000001</v>
      </c>
      <c r="H34">
        <v>0.52300000000000002</v>
      </c>
      <c r="I34">
        <v>0.127</v>
      </c>
      <c r="J34">
        <v>0.15</v>
      </c>
      <c r="K34">
        <v>2019</v>
      </c>
    </row>
    <row r="35" spans="1:11" x14ac:dyDescent="0.3">
      <c r="A35">
        <v>34</v>
      </c>
      <c r="B35" s="1" t="s">
        <v>40</v>
      </c>
      <c r="C35" s="1" t="str">
        <f>VLOOKUP(_2019[[#This Row],[Country or region]],'2016'!$1:$1048576,2,FALSE)</f>
        <v>Southeastern Asia</v>
      </c>
      <c r="D35">
        <v>6.2619999999999996</v>
      </c>
      <c r="E35">
        <v>1.5720000000000001</v>
      </c>
      <c r="F35">
        <v>1.4630000000000001</v>
      </c>
      <c r="G35">
        <v>1.141</v>
      </c>
      <c r="H35">
        <v>0.55600000000000005</v>
      </c>
      <c r="I35">
        <v>0.27100000000000002</v>
      </c>
      <c r="J35">
        <v>0.45300000000000001</v>
      </c>
      <c r="K35">
        <v>2019</v>
      </c>
    </row>
    <row r="36" spans="1:11" x14ac:dyDescent="0.3">
      <c r="A36">
        <v>35</v>
      </c>
      <c r="B36" s="1" t="s">
        <v>61</v>
      </c>
      <c r="C36" s="1" t="str">
        <f>VLOOKUP(_2019[[#This Row],[Country or region]],'2016'!$1:$1048576,2,FALSE)</f>
        <v>Latin America and Caribbean</v>
      </c>
      <c r="D36">
        <v>6.2530000000000001</v>
      </c>
      <c r="E36">
        <v>0.79400000000000004</v>
      </c>
      <c r="F36">
        <v>1.242</v>
      </c>
      <c r="G36">
        <v>0.78900000000000003</v>
      </c>
      <c r="H36">
        <v>0.43</v>
      </c>
      <c r="I36">
        <v>9.2999999999999999E-2</v>
      </c>
      <c r="J36">
        <v>7.3999999999999996E-2</v>
      </c>
      <c r="K36">
        <v>2019</v>
      </c>
    </row>
    <row r="37" spans="1:11" x14ac:dyDescent="0.3">
      <c r="A37">
        <v>36</v>
      </c>
      <c r="B37" s="1" t="s">
        <v>69</v>
      </c>
      <c r="C37" s="1" t="str">
        <f>VLOOKUP(_2019[[#This Row],[Country or region]],'2016'!$1:$1048576,2,FALSE)</f>
        <v>Western Europe</v>
      </c>
      <c r="D37">
        <v>6.2229999999999999</v>
      </c>
      <c r="E37">
        <v>1.294</v>
      </c>
      <c r="F37">
        <v>1.488</v>
      </c>
      <c r="G37">
        <v>1.0389999999999999</v>
      </c>
      <c r="H37">
        <v>0.23100000000000001</v>
      </c>
      <c r="I37">
        <v>0.158</v>
      </c>
      <c r="J37">
        <v>0.03</v>
      </c>
      <c r="K37">
        <v>2019</v>
      </c>
    </row>
    <row r="38" spans="1:11" x14ac:dyDescent="0.3">
      <c r="A38">
        <v>37</v>
      </c>
      <c r="B38" s="1" t="s">
        <v>68</v>
      </c>
      <c r="C38" s="1" t="str">
        <f>VLOOKUP(_2019[[#This Row],[Country or region]],'2016'!$1:$1048576,2,FALSE)</f>
        <v>Middle East and Northern Africa</v>
      </c>
      <c r="D38">
        <v>6.1989999999999998</v>
      </c>
      <c r="E38">
        <v>1.3620000000000001</v>
      </c>
      <c r="F38">
        <v>1.3680000000000001</v>
      </c>
      <c r="G38">
        <v>0.871</v>
      </c>
      <c r="H38">
        <v>0.53600000000000003</v>
      </c>
      <c r="I38">
        <v>0.255</v>
      </c>
      <c r="J38">
        <v>0.11</v>
      </c>
      <c r="K38">
        <v>2019</v>
      </c>
    </row>
    <row r="39" spans="1:11" x14ac:dyDescent="0.3">
      <c r="A39">
        <v>38</v>
      </c>
      <c r="B39" s="1" t="s">
        <v>64</v>
      </c>
      <c r="C39" s="1" t="str">
        <f>VLOOKUP(_2019[[#This Row],[Country or region]],'2016'!$1:$1048576,2,FALSE)</f>
        <v>Central and Eastern Europe</v>
      </c>
      <c r="D39">
        <v>6.1980000000000004</v>
      </c>
      <c r="E39">
        <v>1.246</v>
      </c>
      <c r="F39">
        <v>1.504</v>
      </c>
      <c r="G39">
        <v>0.88100000000000001</v>
      </c>
      <c r="H39">
        <v>0.33400000000000002</v>
      </c>
      <c r="I39">
        <v>0.121</v>
      </c>
      <c r="J39">
        <v>1.4E-2</v>
      </c>
      <c r="K39">
        <v>2019</v>
      </c>
    </row>
    <row r="40" spans="1:11" x14ac:dyDescent="0.3">
      <c r="A40">
        <v>39</v>
      </c>
      <c r="B40" s="1" t="s">
        <v>243</v>
      </c>
      <c r="C40" s="1" t="s">
        <v>28</v>
      </c>
      <c r="D40">
        <v>6.1920000000000002</v>
      </c>
      <c r="E40">
        <v>1.2310000000000001</v>
      </c>
      <c r="F40">
        <v>1.4770000000000001</v>
      </c>
      <c r="G40">
        <v>0.71299999999999997</v>
      </c>
      <c r="H40">
        <v>0.48899999999999999</v>
      </c>
      <c r="I40">
        <v>0.185</v>
      </c>
      <c r="J40">
        <v>1.6E-2</v>
      </c>
      <c r="K40">
        <v>2019</v>
      </c>
    </row>
    <row r="41" spans="1:11" x14ac:dyDescent="0.3">
      <c r="A41">
        <v>40</v>
      </c>
      <c r="B41" s="1" t="s">
        <v>79</v>
      </c>
      <c r="C41" s="1" t="str">
        <f>VLOOKUP(_2019[[#This Row],[Country or region]],'2016'!$1:$1048576,2,FALSE)</f>
        <v>Central and Eastern Europe</v>
      </c>
      <c r="D41">
        <v>6.1820000000000004</v>
      </c>
      <c r="E41">
        <v>1.206</v>
      </c>
      <c r="F41">
        <v>1.4379999999999999</v>
      </c>
      <c r="G41">
        <v>0.88400000000000001</v>
      </c>
      <c r="H41">
        <v>0.48299999999999998</v>
      </c>
      <c r="I41">
        <v>0.11700000000000001</v>
      </c>
      <c r="J41">
        <v>0.05</v>
      </c>
      <c r="K41">
        <v>2019</v>
      </c>
    </row>
    <row r="42" spans="1:11" x14ac:dyDescent="0.3">
      <c r="A42">
        <v>41</v>
      </c>
      <c r="B42" s="1" t="s">
        <v>63</v>
      </c>
      <c r="C42" s="1" t="str">
        <f>VLOOKUP(_2019[[#This Row],[Country or region]],'2016'!$1:$1048576,2,FALSE)</f>
        <v>Central and Eastern Europe</v>
      </c>
      <c r="D42">
        <v>6.1740000000000004</v>
      </c>
      <c r="E42">
        <v>0.745</v>
      </c>
      <c r="F42">
        <v>1.5289999999999999</v>
      </c>
      <c r="G42">
        <v>0.75600000000000001</v>
      </c>
      <c r="H42">
        <v>0.63100000000000001</v>
      </c>
      <c r="I42">
        <v>0.32200000000000001</v>
      </c>
      <c r="J42">
        <v>0.24</v>
      </c>
      <c r="K42">
        <v>2019</v>
      </c>
    </row>
    <row r="43" spans="1:11" x14ac:dyDescent="0.3">
      <c r="A43">
        <v>42</v>
      </c>
      <c r="B43" s="1" t="s">
        <v>75</v>
      </c>
      <c r="C43" s="1" t="str">
        <f>VLOOKUP(_2019[[#This Row],[Country or region]],'2016'!$1:$1048576,2,FALSE)</f>
        <v>Central and Eastern Europe</v>
      </c>
      <c r="D43">
        <v>6.149</v>
      </c>
      <c r="E43">
        <v>1.238</v>
      </c>
      <c r="F43">
        <v>1.5149999999999999</v>
      </c>
      <c r="G43">
        <v>0.81799999999999995</v>
      </c>
      <c r="H43">
        <v>0.29099999999999998</v>
      </c>
      <c r="I43">
        <v>4.2999999999999997E-2</v>
      </c>
      <c r="J43">
        <v>4.2000000000000003E-2</v>
      </c>
      <c r="K43">
        <v>2019</v>
      </c>
    </row>
    <row r="44" spans="1:11" x14ac:dyDescent="0.3">
      <c r="A44">
        <v>43</v>
      </c>
      <c r="B44" s="1" t="s">
        <v>51</v>
      </c>
      <c r="C44" s="1" t="str">
        <f>VLOOKUP(_2019[[#This Row],[Country or region]],'2016'!$1:$1048576,2,FALSE)</f>
        <v>Latin America and Caribbean</v>
      </c>
      <c r="D44">
        <v>6.125</v>
      </c>
      <c r="E44">
        <v>0.98499999999999999</v>
      </c>
      <c r="F44">
        <v>1.41</v>
      </c>
      <c r="G44">
        <v>0.84099999999999997</v>
      </c>
      <c r="H44">
        <v>0.47</v>
      </c>
      <c r="I44">
        <v>9.9000000000000005E-2</v>
      </c>
      <c r="J44">
        <v>3.4000000000000002E-2</v>
      </c>
      <c r="K44">
        <v>2019</v>
      </c>
    </row>
    <row r="45" spans="1:11" x14ac:dyDescent="0.3">
      <c r="A45">
        <v>44</v>
      </c>
      <c r="B45" s="1" t="s">
        <v>74</v>
      </c>
      <c r="C45" s="1" t="str">
        <f>VLOOKUP(_2019[[#This Row],[Country or region]],'2016'!$1:$1048576,2,FALSE)</f>
        <v>Central and Eastern Europe</v>
      </c>
      <c r="D45">
        <v>6.1180000000000003</v>
      </c>
      <c r="E45">
        <v>1.258</v>
      </c>
      <c r="F45">
        <v>1.5229999999999999</v>
      </c>
      <c r="G45">
        <v>0.95299999999999996</v>
      </c>
      <c r="H45">
        <v>0.56399999999999995</v>
      </c>
      <c r="I45">
        <v>0.14399999999999999</v>
      </c>
      <c r="J45">
        <v>5.7000000000000002E-2</v>
      </c>
      <c r="K45">
        <v>2019</v>
      </c>
    </row>
    <row r="46" spans="1:11" x14ac:dyDescent="0.3">
      <c r="A46">
        <v>45</v>
      </c>
      <c r="B46" s="1" t="s">
        <v>76</v>
      </c>
      <c r="C46" s="1" t="str">
        <f>VLOOKUP(_2019[[#This Row],[Country or region]],'2016'!$1:$1048576,2,FALSE)</f>
        <v>Latin America and Caribbean</v>
      </c>
      <c r="D46">
        <v>6.1050000000000004</v>
      </c>
      <c r="E46">
        <v>0.69399999999999995</v>
      </c>
      <c r="F46">
        <v>1.325</v>
      </c>
      <c r="G46">
        <v>0.83499999999999996</v>
      </c>
      <c r="H46">
        <v>0.435</v>
      </c>
      <c r="I46">
        <v>0.2</v>
      </c>
      <c r="J46">
        <v>0.127</v>
      </c>
      <c r="K46">
        <v>2019</v>
      </c>
    </row>
    <row r="47" spans="1:11" x14ac:dyDescent="0.3">
      <c r="A47">
        <v>46</v>
      </c>
      <c r="B47" s="1" t="s">
        <v>88</v>
      </c>
      <c r="C47" s="1" t="str">
        <f>VLOOKUP(_2019[[#This Row],[Country or region]],'2016'!$1:$1048576,2,FALSE)</f>
        <v>Central and Eastern Europe</v>
      </c>
      <c r="D47">
        <v>6.1</v>
      </c>
      <c r="E47">
        <v>0.88200000000000001</v>
      </c>
      <c r="F47">
        <v>1.232</v>
      </c>
      <c r="G47">
        <v>0.75800000000000001</v>
      </c>
      <c r="H47">
        <v>0.48899999999999999</v>
      </c>
      <c r="I47">
        <v>0.26200000000000001</v>
      </c>
      <c r="J47">
        <v>6.0000000000000001E-3</v>
      </c>
      <c r="K47">
        <v>2019</v>
      </c>
    </row>
    <row r="48" spans="1:11" x14ac:dyDescent="0.3">
      <c r="A48">
        <v>47</v>
      </c>
      <c r="B48" s="1" t="s">
        <v>47</v>
      </c>
      <c r="C48" s="1" t="str">
        <f>VLOOKUP(_2019[[#This Row],[Country or region]],'2016'!$1:$1048576,2,FALSE)</f>
        <v>Latin America and Caribbean</v>
      </c>
      <c r="D48">
        <v>6.0860000000000003</v>
      </c>
      <c r="E48">
        <v>1.0920000000000001</v>
      </c>
      <c r="F48">
        <v>1.4319999999999999</v>
      </c>
      <c r="G48">
        <v>0.88100000000000001</v>
      </c>
      <c r="H48">
        <v>0.47099999999999997</v>
      </c>
      <c r="I48">
        <v>6.6000000000000003E-2</v>
      </c>
      <c r="J48">
        <v>0.05</v>
      </c>
      <c r="K48">
        <v>2019</v>
      </c>
    </row>
    <row r="49" spans="1:11" x14ac:dyDescent="0.3">
      <c r="A49">
        <v>48</v>
      </c>
      <c r="B49" s="1" t="s">
        <v>107</v>
      </c>
      <c r="C49" s="1" t="str">
        <f>VLOOKUP(_2019[[#This Row],[Country or region]],'2016'!$1:$1048576,2,FALSE)</f>
        <v>Central and Eastern Europe</v>
      </c>
      <c r="D49">
        <v>6.07</v>
      </c>
      <c r="E49">
        <v>1.1619999999999999</v>
      </c>
      <c r="F49">
        <v>1.232</v>
      </c>
      <c r="G49">
        <v>0.82499999999999996</v>
      </c>
      <c r="H49">
        <v>0.46200000000000002</v>
      </c>
      <c r="I49">
        <v>8.3000000000000004E-2</v>
      </c>
      <c r="J49">
        <v>5.0000000000000001E-3</v>
      </c>
      <c r="K49">
        <v>2019</v>
      </c>
    </row>
    <row r="50" spans="1:11" x14ac:dyDescent="0.3">
      <c r="A50">
        <v>49</v>
      </c>
      <c r="B50" s="1" t="s">
        <v>86</v>
      </c>
      <c r="C50" s="1" t="str">
        <f>VLOOKUP(_2019[[#This Row],[Country or region]],'2016'!$1:$1048576,2,FALSE)</f>
        <v>Western Europe</v>
      </c>
      <c r="D50">
        <v>6.0460000000000003</v>
      </c>
      <c r="E50">
        <v>1.2629999999999999</v>
      </c>
      <c r="F50">
        <v>1.2230000000000001</v>
      </c>
      <c r="G50">
        <v>1.042</v>
      </c>
      <c r="H50">
        <v>0.40600000000000003</v>
      </c>
      <c r="I50">
        <v>0.19</v>
      </c>
      <c r="J50">
        <v>4.1000000000000002E-2</v>
      </c>
      <c r="K50">
        <v>2019</v>
      </c>
    </row>
    <row r="51" spans="1:11" x14ac:dyDescent="0.3">
      <c r="A51">
        <v>50</v>
      </c>
      <c r="B51" s="1" t="s">
        <v>67</v>
      </c>
      <c r="C51" s="1" t="str">
        <f>VLOOKUP(_2019[[#This Row],[Country or region]],'2016'!$1:$1048576,2,FALSE)</f>
        <v>Latin America and Caribbean</v>
      </c>
      <c r="D51">
        <v>6.0279999999999996</v>
      </c>
      <c r="E51">
        <v>0.91200000000000003</v>
      </c>
      <c r="F51">
        <v>1.3120000000000001</v>
      </c>
      <c r="G51">
        <v>0.86799999999999999</v>
      </c>
      <c r="H51">
        <v>0.498</v>
      </c>
      <c r="I51">
        <v>0.126</v>
      </c>
      <c r="J51">
        <v>8.6999999999999994E-2</v>
      </c>
      <c r="K51">
        <v>2019</v>
      </c>
    </row>
    <row r="52" spans="1:11" x14ac:dyDescent="0.3">
      <c r="A52">
        <v>51</v>
      </c>
      <c r="B52" s="1" t="s">
        <v>58</v>
      </c>
      <c r="C52" s="1" t="str">
        <f>VLOOKUP(_2019[[#This Row],[Country or region]],'2016'!$1:$1048576,2,FALSE)</f>
        <v>Middle East and Northern Africa</v>
      </c>
      <c r="D52">
        <v>6.0209999999999999</v>
      </c>
      <c r="E52">
        <v>1.5</v>
      </c>
      <c r="F52">
        <v>1.319</v>
      </c>
      <c r="G52">
        <v>0.80800000000000005</v>
      </c>
      <c r="H52">
        <v>0.49299999999999999</v>
      </c>
      <c r="I52">
        <v>0.14199999999999999</v>
      </c>
      <c r="J52">
        <v>9.7000000000000003E-2</v>
      </c>
      <c r="K52">
        <v>2019</v>
      </c>
    </row>
    <row r="53" spans="1:11" x14ac:dyDescent="0.3">
      <c r="A53">
        <v>52</v>
      </c>
      <c r="B53" s="1" t="s">
        <v>52</v>
      </c>
      <c r="C53" s="1" t="str">
        <f>VLOOKUP(_2019[[#This Row],[Country or region]],'2016'!$1:$1048576,2,FALSE)</f>
        <v>Southeastern Asia</v>
      </c>
      <c r="D53">
        <v>6.008</v>
      </c>
      <c r="E53">
        <v>1.05</v>
      </c>
      <c r="F53">
        <v>1.409</v>
      </c>
      <c r="G53">
        <v>0.82799999999999996</v>
      </c>
      <c r="H53">
        <v>0.55700000000000005</v>
      </c>
      <c r="I53">
        <v>0.35899999999999999</v>
      </c>
      <c r="J53">
        <v>2.8000000000000001E-2</v>
      </c>
      <c r="K53">
        <v>2019</v>
      </c>
    </row>
    <row r="54" spans="1:11" x14ac:dyDescent="0.3">
      <c r="A54">
        <v>53</v>
      </c>
      <c r="B54" s="1" t="s">
        <v>110</v>
      </c>
      <c r="C54" s="1" t="str">
        <f>VLOOKUP(_2019[[#This Row],[Country or region]],'2016'!$1:$1048576,2,FALSE)</f>
        <v>Central and Eastern Europe</v>
      </c>
      <c r="D54">
        <v>5.94</v>
      </c>
      <c r="E54">
        <v>1.1870000000000001</v>
      </c>
      <c r="F54">
        <v>1.4650000000000001</v>
      </c>
      <c r="G54">
        <v>0.81200000000000006</v>
      </c>
      <c r="H54">
        <v>0.26400000000000001</v>
      </c>
      <c r="I54">
        <v>7.4999999999999997E-2</v>
      </c>
      <c r="J54">
        <v>6.4000000000000001E-2</v>
      </c>
      <c r="K54">
        <v>2019</v>
      </c>
    </row>
    <row r="55" spans="1:11" x14ac:dyDescent="0.3">
      <c r="A55">
        <v>54</v>
      </c>
      <c r="B55" s="1" t="s">
        <v>66</v>
      </c>
      <c r="C55" s="1" t="str">
        <f>VLOOKUP(_2019[[#This Row],[Country or region]],'2016'!$1:$1048576,2,FALSE)</f>
        <v>Eastern Asia</v>
      </c>
      <c r="D55">
        <v>5.8949999999999996</v>
      </c>
      <c r="E55">
        <v>1.3009999999999999</v>
      </c>
      <c r="F55">
        <v>1.2190000000000001</v>
      </c>
      <c r="G55">
        <v>1.036</v>
      </c>
      <c r="H55">
        <v>0.159</v>
      </c>
      <c r="I55">
        <v>0.17499999999999999</v>
      </c>
      <c r="J55">
        <v>5.6000000000000001E-2</v>
      </c>
      <c r="K55">
        <v>2019</v>
      </c>
    </row>
    <row r="56" spans="1:11" x14ac:dyDescent="0.3">
      <c r="A56">
        <v>55</v>
      </c>
      <c r="B56" s="1" t="s">
        <v>93</v>
      </c>
      <c r="C56" s="1" t="str">
        <f>VLOOKUP(_2019[[#This Row],[Country or region]],'2016'!$1:$1048576,2,FALSE)</f>
        <v>Central and Eastern Europe</v>
      </c>
      <c r="D56">
        <v>5.8929999999999998</v>
      </c>
      <c r="E56">
        <v>1.2370000000000001</v>
      </c>
      <c r="F56">
        <v>1.528</v>
      </c>
      <c r="G56">
        <v>0.874</v>
      </c>
      <c r="H56">
        <v>0.495</v>
      </c>
      <c r="I56">
        <v>0.10299999999999999</v>
      </c>
      <c r="J56">
        <v>0.161</v>
      </c>
      <c r="K56">
        <v>2019</v>
      </c>
    </row>
    <row r="57" spans="1:11" x14ac:dyDescent="0.3">
      <c r="A57">
        <v>56</v>
      </c>
      <c r="B57" s="1" t="s">
        <v>84</v>
      </c>
      <c r="C57" s="1" t="str">
        <f>VLOOKUP(_2019[[#This Row],[Country or region]],'2016'!$1:$1048576,2,FALSE)</f>
        <v>Latin America and Caribbean</v>
      </c>
      <c r="D57">
        <v>5.89</v>
      </c>
      <c r="E57">
        <v>0.83099999999999996</v>
      </c>
      <c r="F57">
        <v>1.478</v>
      </c>
      <c r="G57">
        <v>0.83099999999999996</v>
      </c>
      <c r="H57">
        <v>0.49</v>
      </c>
      <c r="I57">
        <v>0.107</v>
      </c>
      <c r="J57">
        <v>2.8000000000000001E-2</v>
      </c>
      <c r="K57">
        <v>2019</v>
      </c>
    </row>
    <row r="58" spans="1:11" x14ac:dyDescent="0.3">
      <c r="A58">
        <v>57</v>
      </c>
      <c r="B58" s="1" t="s">
        <v>90</v>
      </c>
      <c r="C58" s="1" t="str">
        <f>VLOOKUP(_2019[[#This Row],[Country or region]],'2016'!$1:$1048576,2,FALSE)</f>
        <v>Sub-Saharan Africa</v>
      </c>
      <c r="D58">
        <v>5.8879999999999999</v>
      </c>
      <c r="E58">
        <v>1.1200000000000001</v>
      </c>
      <c r="F58">
        <v>1.4019999999999999</v>
      </c>
      <c r="G58">
        <v>0.79800000000000004</v>
      </c>
      <c r="H58">
        <v>0.498</v>
      </c>
      <c r="I58">
        <v>0.215</v>
      </c>
      <c r="J58">
        <v>0.06</v>
      </c>
      <c r="K58">
        <v>2019</v>
      </c>
    </row>
    <row r="59" spans="1:11" x14ac:dyDescent="0.3">
      <c r="A59">
        <v>58</v>
      </c>
      <c r="B59" s="1" t="s">
        <v>65</v>
      </c>
      <c r="C59" s="1" t="str">
        <f>VLOOKUP(_2019[[#This Row],[Country or region]],'2016'!$1:$1048576,2,FALSE)</f>
        <v>Eastern Asia</v>
      </c>
      <c r="D59">
        <v>5.8860000000000001</v>
      </c>
      <c r="E59">
        <v>1.327</v>
      </c>
      <c r="F59">
        <v>1.419</v>
      </c>
      <c r="G59">
        <v>1.0880000000000001</v>
      </c>
      <c r="H59">
        <v>0.44500000000000001</v>
      </c>
      <c r="I59">
        <v>6.9000000000000006E-2</v>
      </c>
      <c r="J59">
        <v>0.14000000000000001</v>
      </c>
      <c r="K59">
        <v>2019</v>
      </c>
    </row>
    <row r="60" spans="1:11" x14ac:dyDescent="0.3">
      <c r="A60">
        <v>59</v>
      </c>
      <c r="B60" s="1" t="s">
        <v>126</v>
      </c>
      <c r="C60" s="1" t="str">
        <f>VLOOKUP(_2019[[#This Row],[Country or region]],'2016'!$1:$1048576,2,FALSE)</f>
        <v>Latin America and Caribbean</v>
      </c>
      <c r="D60">
        <v>5.86</v>
      </c>
      <c r="E60">
        <v>0.64200000000000002</v>
      </c>
      <c r="F60">
        <v>1.236</v>
      </c>
      <c r="G60">
        <v>0.82799999999999996</v>
      </c>
      <c r="H60">
        <v>0.50700000000000001</v>
      </c>
      <c r="I60">
        <v>0.246</v>
      </c>
      <c r="J60">
        <v>7.8E-2</v>
      </c>
      <c r="K60">
        <v>2019</v>
      </c>
    </row>
    <row r="61" spans="1:11" x14ac:dyDescent="0.3">
      <c r="A61">
        <v>60</v>
      </c>
      <c r="B61" s="1" t="s">
        <v>73</v>
      </c>
      <c r="C61" s="1" t="str">
        <f>VLOOKUP(_2019[[#This Row],[Country or region]],'2016'!$1:$1048576,2,FALSE)</f>
        <v>Central and Eastern Europe</v>
      </c>
      <c r="D61">
        <v>5.8090000000000002</v>
      </c>
      <c r="E61">
        <v>1.173</v>
      </c>
      <c r="F61">
        <v>1.508</v>
      </c>
      <c r="G61">
        <v>0.72899999999999998</v>
      </c>
      <c r="H61">
        <v>0.41</v>
      </c>
      <c r="I61">
        <v>0.14599999999999999</v>
      </c>
      <c r="J61">
        <v>9.6000000000000002E-2</v>
      </c>
      <c r="K61">
        <v>2019</v>
      </c>
    </row>
    <row r="62" spans="1:11" x14ac:dyDescent="0.3">
      <c r="A62">
        <v>61</v>
      </c>
      <c r="B62" s="1" t="s">
        <v>70</v>
      </c>
      <c r="C62" s="1" t="str">
        <f>VLOOKUP(_2019[[#This Row],[Country or region]],'2016'!$1:$1048576,2,FALSE)</f>
        <v>Latin America and Caribbean</v>
      </c>
      <c r="D62">
        <v>5.7789999999999999</v>
      </c>
      <c r="E62">
        <v>0.77600000000000002</v>
      </c>
      <c r="F62">
        <v>1.2090000000000001</v>
      </c>
      <c r="G62">
        <v>0.70599999999999996</v>
      </c>
      <c r="H62">
        <v>0.51100000000000001</v>
      </c>
      <c r="I62">
        <v>0.13700000000000001</v>
      </c>
      <c r="J62">
        <v>6.4000000000000001E-2</v>
      </c>
      <c r="K62">
        <v>2019</v>
      </c>
    </row>
    <row r="63" spans="1:11" x14ac:dyDescent="0.3">
      <c r="A63">
        <v>62</v>
      </c>
      <c r="B63" s="1" t="s">
        <v>125</v>
      </c>
      <c r="C63" s="1" t="str">
        <f>VLOOKUP(_2019[[#This Row],[Country or region]],'2016'!$1:$1048576,2,FALSE)</f>
        <v>Central and Eastern Europe</v>
      </c>
      <c r="D63">
        <v>5.758</v>
      </c>
      <c r="E63">
        <v>1.2010000000000001</v>
      </c>
      <c r="F63">
        <v>1.41</v>
      </c>
      <c r="G63">
        <v>0.82799999999999996</v>
      </c>
      <c r="H63">
        <v>0.19900000000000001</v>
      </c>
      <c r="I63">
        <v>8.1000000000000003E-2</v>
      </c>
      <c r="J63">
        <v>0.02</v>
      </c>
      <c r="K63">
        <v>2019</v>
      </c>
    </row>
    <row r="64" spans="1:11" x14ac:dyDescent="0.3">
      <c r="A64">
        <v>63</v>
      </c>
      <c r="B64" s="1" t="s">
        <v>72</v>
      </c>
      <c r="C64" s="1" t="str">
        <f>VLOOKUP(_2019[[#This Row],[Country or region]],'2016'!$1:$1048576,2,FALSE)</f>
        <v>Latin America and Caribbean</v>
      </c>
      <c r="D64">
        <v>5.7430000000000003</v>
      </c>
      <c r="E64">
        <v>0.85499999999999998</v>
      </c>
      <c r="F64">
        <v>1.4750000000000001</v>
      </c>
      <c r="G64">
        <v>0.77700000000000002</v>
      </c>
      <c r="H64">
        <v>0.51400000000000001</v>
      </c>
      <c r="I64">
        <v>0.184</v>
      </c>
      <c r="J64">
        <v>0.08</v>
      </c>
      <c r="K64">
        <v>2019</v>
      </c>
    </row>
    <row r="65" spans="1:11" x14ac:dyDescent="0.3">
      <c r="A65">
        <v>64</v>
      </c>
      <c r="B65" s="1" t="s">
        <v>262</v>
      </c>
      <c r="C65" s="1" t="s">
        <v>13</v>
      </c>
      <c r="D65">
        <v>5.718</v>
      </c>
      <c r="E65">
        <v>1.2629999999999999</v>
      </c>
      <c r="F65">
        <v>1.252</v>
      </c>
      <c r="G65">
        <v>1.042</v>
      </c>
      <c r="H65">
        <v>0.41699999999999998</v>
      </c>
      <c r="I65">
        <v>0.191</v>
      </c>
      <c r="J65">
        <v>0.16200000000000001</v>
      </c>
      <c r="K65">
        <v>2019</v>
      </c>
    </row>
    <row r="66" spans="1:11" x14ac:dyDescent="0.3">
      <c r="A66">
        <v>65</v>
      </c>
      <c r="B66" s="1" t="s">
        <v>77</v>
      </c>
      <c r="C66" s="1" t="str">
        <f>VLOOKUP(_2019[[#This Row],[Country or region]],'2016'!$1:$1048576,2,FALSE)</f>
        <v>Latin America and Caribbean</v>
      </c>
      <c r="D66">
        <v>5.6970000000000001</v>
      </c>
      <c r="E66">
        <v>0.96</v>
      </c>
      <c r="F66">
        <v>1.274</v>
      </c>
      <c r="G66">
        <v>0.85399999999999998</v>
      </c>
      <c r="H66">
        <v>0.45500000000000002</v>
      </c>
      <c r="I66">
        <v>8.3000000000000004E-2</v>
      </c>
      <c r="J66">
        <v>2.7E-2</v>
      </c>
      <c r="K66">
        <v>2019</v>
      </c>
    </row>
    <row r="67" spans="1:11" x14ac:dyDescent="0.3">
      <c r="A67">
        <v>66</v>
      </c>
      <c r="B67" s="1" t="s">
        <v>109</v>
      </c>
      <c r="C67" s="1" t="str">
        <f>VLOOKUP(_2019[[#This Row],[Country or region]],'2016'!$1:$1048576,2,FALSE)</f>
        <v>Western Europe</v>
      </c>
      <c r="D67">
        <v>5.6929999999999996</v>
      </c>
      <c r="E67">
        <v>1.2210000000000001</v>
      </c>
      <c r="F67">
        <v>1.431</v>
      </c>
      <c r="G67">
        <v>0.999</v>
      </c>
      <c r="H67">
        <v>0.50800000000000001</v>
      </c>
      <c r="I67">
        <v>4.7E-2</v>
      </c>
      <c r="J67">
        <v>2.5000000000000001E-2</v>
      </c>
      <c r="K67">
        <v>2019</v>
      </c>
    </row>
    <row r="68" spans="1:11" x14ac:dyDescent="0.3">
      <c r="A68">
        <v>67</v>
      </c>
      <c r="B68" s="1" t="s">
        <v>102</v>
      </c>
      <c r="C68" s="1" t="str">
        <f>VLOOKUP(_2019[[#This Row],[Country or region]],'2016'!$1:$1048576,2,FALSE)</f>
        <v>Southern Asia</v>
      </c>
      <c r="D68">
        <v>5.6529999999999996</v>
      </c>
      <c r="E68">
        <v>0.67700000000000005</v>
      </c>
      <c r="F68">
        <v>0.88600000000000001</v>
      </c>
      <c r="G68">
        <v>0.53500000000000003</v>
      </c>
      <c r="H68">
        <v>0.313</v>
      </c>
      <c r="I68">
        <v>0.22</v>
      </c>
      <c r="J68">
        <v>9.8000000000000004E-2</v>
      </c>
      <c r="K68">
        <v>2019</v>
      </c>
    </row>
    <row r="69" spans="1:11" x14ac:dyDescent="0.3">
      <c r="A69">
        <v>68</v>
      </c>
      <c r="B69" s="1" t="s">
        <v>83</v>
      </c>
      <c r="C69" s="1" t="str">
        <f>VLOOKUP(_2019[[#This Row],[Country or region]],'2016'!$1:$1048576,2,FALSE)</f>
        <v>Central and Eastern Europe</v>
      </c>
      <c r="D69">
        <v>5.6479999999999997</v>
      </c>
      <c r="E69">
        <v>1.1830000000000001</v>
      </c>
      <c r="F69">
        <v>1.452</v>
      </c>
      <c r="G69">
        <v>0.72599999999999998</v>
      </c>
      <c r="H69">
        <v>0.33400000000000002</v>
      </c>
      <c r="I69">
        <v>8.2000000000000003E-2</v>
      </c>
      <c r="J69">
        <v>3.1E-2</v>
      </c>
      <c r="K69">
        <v>2019</v>
      </c>
    </row>
    <row r="70" spans="1:11" x14ac:dyDescent="0.3">
      <c r="A70">
        <v>69</v>
      </c>
      <c r="B70" s="1" t="s">
        <v>111</v>
      </c>
      <c r="C70" s="1" t="str">
        <f>VLOOKUP(_2019[[#This Row],[Country or region]],'2016'!$1:$1048576,2,FALSE)</f>
        <v>Southeastern Asia</v>
      </c>
      <c r="D70">
        <v>5.6310000000000002</v>
      </c>
      <c r="E70">
        <v>0.80700000000000005</v>
      </c>
      <c r="F70">
        <v>1.2929999999999999</v>
      </c>
      <c r="G70">
        <v>0.65700000000000003</v>
      </c>
      <c r="H70">
        <v>0.55800000000000005</v>
      </c>
      <c r="I70">
        <v>0.11700000000000001</v>
      </c>
      <c r="J70">
        <v>0.107</v>
      </c>
      <c r="K70">
        <v>2019</v>
      </c>
    </row>
    <row r="71" spans="1:11" x14ac:dyDescent="0.3">
      <c r="A71">
        <v>70</v>
      </c>
      <c r="B71" s="1" t="s">
        <v>108</v>
      </c>
      <c r="C71" s="1" t="str">
        <f>VLOOKUP(_2019[[#This Row],[Country or region]],'2016'!$1:$1048576,2,FALSE)</f>
        <v>Central and Eastern Europe</v>
      </c>
      <c r="D71">
        <v>5.6029999999999998</v>
      </c>
      <c r="E71">
        <v>1.004</v>
      </c>
      <c r="F71">
        <v>1.383</v>
      </c>
      <c r="G71">
        <v>0.85399999999999998</v>
      </c>
      <c r="H71">
        <v>0.28199999999999997</v>
      </c>
      <c r="I71">
        <v>0.13700000000000001</v>
      </c>
      <c r="J71">
        <v>3.9E-2</v>
      </c>
      <c r="K71">
        <v>2019</v>
      </c>
    </row>
    <row r="72" spans="1:11" x14ac:dyDescent="0.3">
      <c r="A72">
        <v>71</v>
      </c>
      <c r="B72" s="1" t="s">
        <v>71</v>
      </c>
      <c r="C72" s="1" t="str">
        <f>VLOOKUP(_2019[[#This Row],[Country or region]],'2016'!$1:$1048576,2,FALSE)</f>
        <v>Central and Eastern Europe</v>
      </c>
      <c r="D72">
        <v>5.5289999999999999</v>
      </c>
      <c r="E72">
        <v>0.68500000000000005</v>
      </c>
      <c r="F72">
        <v>1.3280000000000001</v>
      </c>
      <c r="G72">
        <v>0.73899999999999999</v>
      </c>
      <c r="H72">
        <v>0.245</v>
      </c>
      <c r="I72">
        <v>0.18099999999999999</v>
      </c>
      <c r="J72">
        <v>0</v>
      </c>
      <c r="K72">
        <v>2019</v>
      </c>
    </row>
    <row r="73" spans="1:11" x14ac:dyDescent="0.3">
      <c r="A73">
        <v>72</v>
      </c>
      <c r="B73" s="1" t="s">
        <v>82</v>
      </c>
      <c r="C73" s="1" t="str">
        <f>VLOOKUP(_2019[[#This Row],[Country or region]],'2016'!$1:$1048576,2,FALSE)</f>
        <v>Middle East and Northern Africa</v>
      </c>
      <c r="D73">
        <v>5.5250000000000004</v>
      </c>
      <c r="E73">
        <v>1.044</v>
      </c>
      <c r="F73">
        <v>1.3029999999999999</v>
      </c>
      <c r="G73">
        <v>0.67300000000000004</v>
      </c>
      <c r="H73">
        <v>0.41599999999999998</v>
      </c>
      <c r="I73">
        <v>0.13300000000000001</v>
      </c>
      <c r="J73">
        <v>0.152</v>
      </c>
      <c r="K73">
        <v>2019</v>
      </c>
    </row>
    <row r="74" spans="1:11" x14ac:dyDescent="0.3">
      <c r="A74">
        <v>73</v>
      </c>
      <c r="B74" s="1" t="s">
        <v>104</v>
      </c>
      <c r="C74" s="1" t="str">
        <f>VLOOKUP(_2019[[#This Row],[Country or region]],'2016'!$1:$1048576,2,FALSE)</f>
        <v>Central and Eastern Europe</v>
      </c>
      <c r="D74">
        <v>5.5229999999999997</v>
      </c>
      <c r="E74">
        <v>1.0509999999999999</v>
      </c>
      <c r="F74">
        <v>1.361</v>
      </c>
      <c r="G74">
        <v>0.871</v>
      </c>
      <c r="H74">
        <v>0.19700000000000001</v>
      </c>
      <c r="I74">
        <v>0.14199999999999999</v>
      </c>
      <c r="J74">
        <v>0.08</v>
      </c>
      <c r="K74">
        <v>2019</v>
      </c>
    </row>
    <row r="75" spans="1:11" x14ac:dyDescent="0.3">
      <c r="A75">
        <v>74</v>
      </c>
      <c r="B75" s="1" t="s">
        <v>127</v>
      </c>
      <c r="C75" s="1" t="str">
        <f>VLOOKUP(_2019[[#This Row],[Country or region]],'2016'!$1:$1048576,2,FALSE)</f>
        <v>Central and Eastern Europe</v>
      </c>
      <c r="D75">
        <v>5.4669999999999996</v>
      </c>
      <c r="E75">
        <v>0.49299999999999999</v>
      </c>
      <c r="F75">
        <v>1.0980000000000001</v>
      </c>
      <c r="G75">
        <v>0.71799999999999997</v>
      </c>
      <c r="H75">
        <v>0.38900000000000001</v>
      </c>
      <c r="I75">
        <v>0.23</v>
      </c>
      <c r="J75">
        <v>0.14399999999999999</v>
      </c>
      <c r="K75">
        <v>2019</v>
      </c>
    </row>
    <row r="76" spans="1:11" x14ac:dyDescent="0.3">
      <c r="A76">
        <v>75</v>
      </c>
      <c r="B76" s="1" t="s">
        <v>81</v>
      </c>
      <c r="C76" s="1" t="str">
        <f>VLOOKUP(_2019[[#This Row],[Country or region]],'2016'!$1:$1048576,2,FALSE)</f>
        <v>Central and Eastern Europe</v>
      </c>
      <c r="D76">
        <v>5.4320000000000004</v>
      </c>
      <c r="E76">
        <v>1.155</v>
      </c>
      <c r="F76">
        <v>1.266</v>
      </c>
      <c r="G76">
        <v>0.91400000000000003</v>
      </c>
      <c r="H76">
        <v>0.29599999999999999</v>
      </c>
      <c r="I76">
        <v>0.11899999999999999</v>
      </c>
      <c r="J76">
        <v>2.1999999999999999E-2</v>
      </c>
      <c r="K76">
        <v>2019</v>
      </c>
    </row>
    <row r="77" spans="1:11" x14ac:dyDescent="0.3">
      <c r="A77">
        <v>76</v>
      </c>
      <c r="B77" s="1" t="s">
        <v>92</v>
      </c>
      <c r="C77" s="1" t="str">
        <f>VLOOKUP(_2019[[#This Row],[Country or region]],'2016'!$1:$1048576,2,FALSE)</f>
        <v>Eastern Asia</v>
      </c>
      <c r="D77">
        <v>5.43</v>
      </c>
      <c r="E77">
        <v>1.4379999999999999</v>
      </c>
      <c r="F77">
        <v>1.2769999999999999</v>
      </c>
      <c r="G77">
        <v>1.1220000000000001</v>
      </c>
      <c r="H77">
        <v>0.44</v>
      </c>
      <c r="I77">
        <v>0.25800000000000001</v>
      </c>
      <c r="J77">
        <v>0.28699999999999998</v>
      </c>
      <c r="K77">
        <v>2019</v>
      </c>
    </row>
    <row r="78" spans="1:11" x14ac:dyDescent="0.3">
      <c r="A78">
        <v>77</v>
      </c>
      <c r="B78" s="1" t="s">
        <v>119</v>
      </c>
      <c r="C78" s="1" t="str">
        <f>VLOOKUP(_2019[[#This Row],[Country or region]],'2016'!$1:$1048576,2,FALSE)</f>
        <v>Latin America and Caribbean</v>
      </c>
      <c r="D78">
        <v>5.4249999999999998</v>
      </c>
      <c r="E78">
        <v>1.0149999999999999</v>
      </c>
      <c r="F78">
        <v>1.401</v>
      </c>
      <c r="G78">
        <v>0.77900000000000003</v>
      </c>
      <c r="H78">
        <v>0.497</v>
      </c>
      <c r="I78">
        <v>0.113</v>
      </c>
      <c r="J78">
        <v>0.10100000000000001</v>
      </c>
      <c r="K78">
        <v>2019</v>
      </c>
    </row>
    <row r="79" spans="1:11" x14ac:dyDescent="0.3">
      <c r="A79">
        <v>78</v>
      </c>
      <c r="B79" s="1" t="s">
        <v>117</v>
      </c>
      <c r="C79" s="1" t="str">
        <f>VLOOKUP(_2019[[#This Row],[Country or region]],'2016'!$1:$1048576,2,FALSE)</f>
        <v>Central and Eastern Europe</v>
      </c>
      <c r="D79">
        <v>5.3860000000000001</v>
      </c>
      <c r="E79">
        <v>0.94499999999999995</v>
      </c>
      <c r="F79">
        <v>1.212</v>
      </c>
      <c r="G79">
        <v>0.84499999999999997</v>
      </c>
      <c r="H79">
        <v>0.21199999999999999</v>
      </c>
      <c r="I79">
        <v>0.26300000000000001</v>
      </c>
      <c r="J79">
        <v>6.0000000000000001E-3</v>
      </c>
      <c r="K79">
        <v>2019</v>
      </c>
    </row>
    <row r="80" spans="1:11" x14ac:dyDescent="0.3">
      <c r="A80">
        <v>79</v>
      </c>
      <c r="B80" s="1" t="s">
        <v>96</v>
      </c>
      <c r="C80" s="1" t="str">
        <f>VLOOKUP(_2019[[#This Row],[Country or region]],'2016'!$1:$1048576,2,FALSE)</f>
        <v>Middle East and Northern Africa</v>
      </c>
      <c r="D80">
        <v>5.3730000000000002</v>
      </c>
      <c r="E80">
        <v>1.1830000000000001</v>
      </c>
      <c r="F80">
        <v>1.36</v>
      </c>
      <c r="G80">
        <v>0.80800000000000005</v>
      </c>
      <c r="H80">
        <v>0.19500000000000001</v>
      </c>
      <c r="I80">
        <v>8.3000000000000004E-2</v>
      </c>
      <c r="J80">
        <v>0.106</v>
      </c>
      <c r="K80">
        <v>2019</v>
      </c>
    </row>
    <row r="81" spans="1:11" x14ac:dyDescent="0.3">
      <c r="A81">
        <v>80</v>
      </c>
      <c r="B81" s="1" t="s">
        <v>80</v>
      </c>
      <c r="C81" s="1" t="str">
        <f>VLOOKUP(_2019[[#This Row],[Country or region]],'2016'!$1:$1048576,2,FALSE)</f>
        <v>Southeastern Asia</v>
      </c>
      <c r="D81">
        <v>5.3390000000000004</v>
      </c>
      <c r="E81">
        <v>1.2210000000000001</v>
      </c>
      <c r="F81">
        <v>1.171</v>
      </c>
      <c r="G81">
        <v>0.82799999999999996</v>
      </c>
      <c r="H81">
        <v>0.50800000000000001</v>
      </c>
      <c r="I81">
        <v>0.26</v>
      </c>
      <c r="J81">
        <v>2.4E-2</v>
      </c>
      <c r="K81">
        <v>2019</v>
      </c>
    </row>
    <row r="82" spans="1:11" x14ac:dyDescent="0.3">
      <c r="A82">
        <v>81</v>
      </c>
      <c r="B82" s="1" t="s">
        <v>78</v>
      </c>
      <c r="C82" s="1" t="str">
        <f>VLOOKUP(_2019[[#This Row],[Country or region]],'2016'!$1:$1048576,2,FALSE)</f>
        <v>Central and Eastern Europe</v>
      </c>
      <c r="D82">
        <v>5.3230000000000004</v>
      </c>
      <c r="E82">
        <v>1.0669999999999999</v>
      </c>
      <c r="F82">
        <v>1.4650000000000001</v>
      </c>
      <c r="G82">
        <v>0.78900000000000003</v>
      </c>
      <c r="H82">
        <v>0.23499999999999999</v>
      </c>
      <c r="I82">
        <v>9.4E-2</v>
      </c>
      <c r="J82">
        <v>0.14199999999999999</v>
      </c>
      <c r="K82">
        <v>2019</v>
      </c>
    </row>
    <row r="83" spans="1:11" x14ac:dyDescent="0.3">
      <c r="A83">
        <v>82</v>
      </c>
      <c r="B83" s="1" t="s">
        <v>123</v>
      </c>
      <c r="C83" s="1" t="str">
        <f>VLOOKUP(_2019[[#This Row],[Country or region]],'2016'!$1:$1048576,2,FALSE)</f>
        <v>Western Europe</v>
      </c>
      <c r="D83">
        <v>5.2869999999999999</v>
      </c>
      <c r="E83">
        <v>1.181</v>
      </c>
      <c r="F83">
        <v>1.1559999999999999</v>
      </c>
      <c r="G83">
        <v>0.999</v>
      </c>
      <c r="H83">
        <v>6.7000000000000004E-2</v>
      </c>
      <c r="I83">
        <v>0</v>
      </c>
      <c r="J83">
        <v>3.4000000000000002E-2</v>
      </c>
      <c r="K83">
        <v>2019</v>
      </c>
    </row>
    <row r="84" spans="1:11" x14ac:dyDescent="0.3">
      <c r="A84">
        <v>83</v>
      </c>
      <c r="B84" s="1" t="s">
        <v>121</v>
      </c>
      <c r="C84" s="1" t="str">
        <f>VLOOKUP(_2019[[#This Row],[Country or region]],'2016'!$1:$1048576,2,FALSE)</f>
        <v>Eastern Asia</v>
      </c>
      <c r="D84">
        <v>5.2850000000000001</v>
      </c>
      <c r="E84">
        <v>0.94799999999999995</v>
      </c>
      <c r="F84">
        <v>1.5309999999999999</v>
      </c>
      <c r="G84">
        <v>0.66700000000000004</v>
      </c>
      <c r="H84">
        <v>0.317</v>
      </c>
      <c r="I84">
        <v>0.23499999999999999</v>
      </c>
      <c r="J84">
        <v>3.7999999999999999E-2</v>
      </c>
      <c r="K84">
        <v>2019</v>
      </c>
    </row>
    <row r="85" spans="1:11" x14ac:dyDescent="0.3">
      <c r="A85">
        <v>84</v>
      </c>
      <c r="B85" s="1" t="s">
        <v>319</v>
      </c>
      <c r="C85" s="1" t="s">
        <v>322</v>
      </c>
      <c r="D85">
        <v>5.274</v>
      </c>
      <c r="E85">
        <v>0.98299999999999998</v>
      </c>
      <c r="F85">
        <v>1.294</v>
      </c>
      <c r="G85">
        <v>0.83799999999999997</v>
      </c>
      <c r="H85">
        <v>0.34499999999999997</v>
      </c>
      <c r="I85">
        <v>0.185</v>
      </c>
      <c r="J85">
        <v>3.4000000000000002E-2</v>
      </c>
      <c r="K85">
        <v>2019</v>
      </c>
    </row>
    <row r="86" spans="1:11" x14ac:dyDescent="0.3">
      <c r="A86">
        <v>85</v>
      </c>
      <c r="B86" s="1" t="s">
        <v>98</v>
      </c>
      <c r="C86" s="1" t="str">
        <f>VLOOKUP(_2019[[#This Row],[Country or region]],'2016'!$1:$1048576,2,FALSE)</f>
        <v>Sub-Saharan Africa</v>
      </c>
      <c r="D86">
        <v>5.2649999999999997</v>
      </c>
      <c r="E86">
        <v>0.69599999999999995</v>
      </c>
      <c r="F86">
        <v>1.111</v>
      </c>
      <c r="G86">
        <v>0.245</v>
      </c>
      <c r="H86">
        <v>0.42599999999999999</v>
      </c>
      <c r="I86">
        <v>0.215</v>
      </c>
      <c r="J86">
        <v>4.1000000000000002E-2</v>
      </c>
      <c r="K86">
        <v>2019</v>
      </c>
    </row>
    <row r="87" spans="1:11" x14ac:dyDescent="0.3">
      <c r="A87">
        <v>86</v>
      </c>
      <c r="B87" s="1" t="s">
        <v>97</v>
      </c>
      <c r="C87" s="1" t="str">
        <f>VLOOKUP(_2019[[#This Row],[Country or region]],'2016'!$1:$1048576,2,FALSE)</f>
        <v>Central and Eastern Europe</v>
      </c>
      <c r="D87">
        <v>5.2610000000000001</v>
      </c>
      <c r="E87">
        <v>0.55100000000000005</v>
      </c>
      <c r="F87">
        <v>1.4379999999999999</v>
      </c>
      <c r="G87">
        <v>0.72299999999999998</v>
      </c>
      <c r="H87">
        <v>0.50800000000000001</v>
      </c>
      <c r="I87">
        <v>0.3</v>
      </c>
      <c r="J87">
        <v>2.3E-2</v>
      </c>
      <c r="K87">
        <v>2019</v>
      </c>
    </row>
    <row r="88" spans="1:11" x14ac:dyDescent="0.3">
      <c r="A88">
        <v>87</v>
      </c>
      <c r="B88" s="1" t="s">
        <v>89</v>
      </c>
      <c r="C88" s="1" t="str">
        <f>VLOOKUP(_2019[[#This Row],[Country or region]],'2016'!$1:$1048576,2,FALSE)</f>
        <v>Central and Eastern Europe</v>
      </c>
      <c r="D88">
        <v>5.2469999999999999</v>
      </c>
      <c r="E88">
        <v>1.052</v>
      </c>
      <c r="F88">
        <v>1.538</v>
      </c>
      <c r="G88">
        <v>0.65700000000000003</v>
      </c>
      <c r="H88">
        <v>0.39400000000000002</v>
      </c>
      <c r="I88">
        <v>0.24399999999999999</v>
      </c>
      <c r="J88">
        <v>2.8000000000000001E-2</v>
      </c>
      <c r="K88">
        <v>2019</v>
      </c>
    </row>
    <row r="89" spans="1:11" x14ac:dyDescent="0.3">
      <c r="A89">
        <v>88</v>
      </c>
      <c r="B89" s="1" t="s">
        <v>87</v>
      </c>
      <c r="C89" s="1" t="str">
        <f>VLOOKUP(_2019[[#This Row],[Country or region]],'2016'!$1:$1048576,2,FALSE)</f>
        <v>Middle East and Northern Africa</v>
      </c>
      <c r="D89">
        <v>5.2110000000000003</v>
      </c>
      <c r="E89">
        <v>1.002</v>
      </c>
      <c r="F89">
        <v>1.1599999999999999</v>
      </c>
      <c r="G89">
        <v>0.78500000000000003</v>
      </c>
      <c r="H89">
        <v>8.5999999999999993E-2</v>
      </c>
      <c r="I89">
        <v>7.2999999999999995E-2</v>
      </c>
      <c r="J89">
        <v>0.114</v>
      </c>
      <c r="K89">
        <v>2019</v>
      </c>
    </row>
    <row r="90" spans="1:11" x14ac:dyDescent="0.3">
      <c r="A90">
        <v>89</v>
      </c>
      <c r="B90" s="1" t="s">
        <v>113</v>
      </c>
      <c r="C90" s="1" t="str">
        <f>VLOOKUP(_2019[[#This Row],[Country or region]],'2016'!$1:$1048576,2,FALSE)</f>
        <v>Middle East and Northern Africa</v>
      </c>
      <c r="D90">
        <v>5.2080000000000002</v>
      </c>
      <c r="E90">
        <v>0.80100000000000005</v>
      </c>
      <c r="F90">
        <v>0.78200000000000003</v>
      </c>
      <c r="G90">
        <v>0.78200000000000003</v>
      </c>
      <c r="H90">
        <v>0.41799999999999998</v>
      </c>
      <c r="I90">
        <v>3.5999999999999997E-2</v>
      </c>
      <c r="J90">
        <v>7.5999999999999998E-2</v>
      </c>
      <c r="K90">
        <v>2019</v>
      </c>
    </row>
    <row r="91" spans="1:11" x14ac:dyDescent="0.3">
      <c r="A91">
        <v>90</v>
      </c>
      <c r="B91" s="1" t="s">
        <v>101</v>
      </c>
      <c r="C91" s="1" t="str">
        <f>VLOOKUP(_2019[[#This Row],[Country or region]],'2016'!$1:$1048576,2,FALSE)</f>
        <v>Central and Eastern Europe</v>
      </c>
      <c r="D91">
        <v>5.2080000000000002</v>
      </c>
      <c r="E91">
        <v>1.0429999999999999</v>
      </c>
      <c r="F91">
        <v>1.147</v>
      </c>
      <c r="G91">
        <v>0.76900000000000002</v>
      </c>
      <c r="H91">
        <v>0.35099999999999998</v>
      </c>
      <c r="I91">
        <v>3.5000000000000003E-2</v>
      </c>
      <c r="J91">
        <v>0.182</v>
      </c>
      <c r="K91">
        <v>2019</v>
      </c>
    </row>
    <row r="92" spans="1:11" x14ac:dyDescent="0.3">
      <c r="A92">
        <v>91</v>
      </c>
      <c r="B92" s="1" t="s">
        <v>124</v>
      </c>
      <c r="C92" s="1" t="str">
        <f>VLOOKUP(_2019[[#This Row],[Country or region]],'2016'!$1:$1048576,2,FALSE)</f>
        <v>Middle East and Northern Africa</v>
      </c>
      <c r="D92">
        <v>5.1970000000000001</v>
      </c>
      <c r="E92">
        <v>0.98699999999999999</v>
      </c>
      <c r="F92">
        <v>1.224</v>
      </c>
      <c r="G92">
        <v>0.81499999999999995</v>
      </c>
      <c r="H92">
        <v>0.216</v>
      </c>
      <c r="I92">
        <v>0.16600000000000001</v>
      </c>
      <c r="J92">
        <v>2.7E-2</v>
      </c>
      <c r="K92">
        <v>2019</v>
      </c>
    </row>
    <row r="93" spans="1:11" x14ac:dyDescent="0.3">
      <c r="A93">
        <v>92</v>
      </c>
      <c r="B93" s="1" t="s">
        <v>94</v>
      </c>
      <c r="C93" s="1" t="str">
        <f>VLOOKUP(_2019[[#This Row],[Country or region]],'2016'!$1:$1048576,2,FALSE)</f>
        <v>Southeastern Asia</v>
      </c>
      <c r="D93">
        <v>5.1920000000000002</v>
      </c>
      <c r="E93">
        <v>0.93100000000000005</v>
      </c>
      <c r="F93">
        <v>1.2030000000000001</v>
      </c>
      <c r="G93">
        <v>0.66</v>
      </c>
      <c r="H93">
        <v>0.49099999999999999</v>
      </c>
      <c r="I93">
        <v>0.498</v>
      </c>
      <c r="J93">
        <v>2.8000000000000001E-2</v>
      </c>
      <c r="K93">
        <v>2019</v>
      </c>
    </row>
    <row r="94" spans="1:11" x14ac:dyDescent="0.3">
      <c r="A94">
        <v>93</v>
      </c>
      <c r="B94" s="1" t="s">
        <v>105</v>
      </c>
      <c r="C94" s="1" t="str">
        <f>VLOOKUP(_2019[[#This Row],[Country or region]],'2016'!$1:$1048576,2,FALSE)</f>
        <v>Eastern Asia</v>
      </c>
      <c r="D94">
        <v>5.1909999999999998</v>
      </c>
      <c r="E94">
        <v>1.0289999999999999</v>
      </c>
      <c r="F94">
        <v>1.125</v>
      </c>
      <c r="G94">
        <v>0.89300000000000002</v>
      </c>
      <c r="H94">
        <v>0.52100000000000002</v>
      </c>
      <c r="I94">
        <v>5.8000000000000003E-2</v>
      </c>
      <c r="J94">
        <v>0.1</v>
      </c>
      <c r="K94">
        <v>2019</v>
      </c>
    </row>
    <row r="95" spans="1:11" x14ac:dyDescent="0.3">
      <c r="A95">
        <v>94</v>
      </c>
      <c r="B95" s="1" t="s">
        <v>95</v>
      </c>
      <c r="C95" s="1" t="str">
        <f>VLOOKUP(_2019[[#This Row],[Country or region]],'2016'!$1:$1048576,2,FALSE)</f>
        <v>Southeastern Asia</v>
      </c>
      <c r="D95">
        <v>5.1749999999999998</v>
      </c>
      <c r="E95">
        <v>0.74099999999999999</v>
      </c>
      <c r="F95">
        <v>1.3460000000000001</v>
      </c>
      <c r="G95">
        <v>0.85099999999999998</v>
      </c>
      <c r="H95">
        <v>0.54300000000000004</v>
      </c>
      <c r="I95">
        <v>0.14699999999999999</v>
      </c>
      <c r="J95">
        <v>7.2999999999999995E-2</v>
      </c>
      <c r="K95">
        <v>2019</v>
      </c>
    </row>
    <row r="96" spans="1:11" x14ac:dyDescent="0.3">
      <c r="A96">
        <v>95</v>
      </c>
      <c r="B96" s="1" t="s">
        <v>99</v>
      </c>
      <c r="C96" s="1" t="str">
        <f>VLOOKUP(_2019[[#This Row],[Country or region]],'2016'!$1:$1048576,2,FALSE)</f>
        <v>Southern Asia</v>
      </c>
      <c r="D96">
        <v>5.0819999999999999</v>
      </c>
      <c r="E96">
        <v>0.81299999999999994</v>
      </c>
      <c r="F96">
        <v>1.321</v>
      </c>
      <c r="G96">
        <v>0.60399999999999998</v>
      </c>
      <c r="H96">
        <v>0.45700000000000002</v>
      </c>
      <c r="I96">
        <v>0.37</v>
      </c>
      <c r="J96">
        <v>0.16700000000000001</v>
      </c>
      <c r="K96">
        <v>2019</v>
      </c>
    </row>
    <row r="97" spans="1:11" x14ac:dyDescent="0.3">
      <c r="A97">
        <v>96</v>
      </c>
      <c r="B97" s="1" t="s">
        <v>154</v>
      </c>
      <c r="C97" s="1" t="str">
        <f>VLOOKUP(_2019[[#This Row],[Country or region]],'2016'!$1:$1048576,2,FALSE)</f>
        <v>Sub-Saharan Africa</v>
      </c>
      <c r="D97">
        <v>5.0439999999999996</v>
      </c>
      <c r="E97">
        <v>0.54900000000000004</v>
      </c>
      <c r="F97">
        <v>0.91</v>
      </c>
      <c r="G97">
        <v>0.33100000000000002</v>
      </c>
      <c r="H97">
        <v>0.38100000000000001</v>
      </c>
      <c r="I97">
        <v>0.187</v>
      </c>
      <c r="J97">
        <v>3.6999999999999998E-2</v>
      </c>
      <c r="K97">
        <v>2019</v>
      </c>
    </row>
    <row r="98" spans="1:11" x14ac:dyDescent="0.3">
      <c r="A98">
        <v>97</v>
      </c>
      <c r="B98" s="1" t="s">
        <v>155</v>
      </c>
      <c r="C98" s="1" t="str">
        <f>VLOOKUP(_2019[[#This Row],[Country or region]],'2016'!$1:$1048576,2,FALSE)</f>
        <v>Central and Eastern Europe</v>
      </c>
      <c r="D98">
        <v>5.0110000000000001</v>
      </c>
      <c r="E98">
        <v>1.0920000000000001</v>
      </c>
      <c r="F98">
        <v>1.5129999999999999</v>
      </c>
      <c r="G98">
        <v>0.81499999999999995</v>
      </c>
      <c r="H98">
        <v>0.311</v>
      </c>
      <c r="I98">
        <v>8.1000000000000003E-2</v>
      </c>
      <c r="J98">
        <v>4.0000000000000001E-3</v>
      </c>
      <c r="K98">
        <v>2019</v>
      </c>
    </row>
    <row r="99" spans="1:11" x14ac:dyDescent="0.3">
      <c r="A99">
        <v>98</v>
      </c>
      <c r="B99" s="1" t="s">
        <v>135</v>
      </c>
      <c r="C99" s="1" t="str">
        <f>VLOOKUP(_2019[[#This Row],[Country or region]],'2016'!$1:$1048576,2,FALSE)</f>
        <v>Sub-Saharan Africa</v>
      </c>
      <c r="D99">
        <v>4.9960000000000004</v>
      </c>
      <c r="E99">
        <v>0.61099999999999999</v>
      </c>
      <c r="F99">
        <v>0.86799999999999999</v>
      </c>
      <c r="G99">
        <v>0.48599999999999999</v>
      </c>
      <c r="H99">
        <v>0.38100000000000001</v>
      </c>
      <c r="I99">
        <v>0.245</v>
      </c>
      <c r="J99">
        <v>0.04</v>
      </c>
      <c r="K99">
        <v>2019</v>
      </c>
    </row>
    <row r="100" spans="1:11" x14ac:dyDescent="0.3">
      <c r="A100">
        <v>99</v>
      </c>
      <c r="B100" s="1" t="s">
        <v>172</v>
      </c>
      <c r="C100" s="1" t="str">
        <f>VLOOKUP(_2019[[#This Row],[Country or region]],'2016'!$1:$1048576,2,FALSE)</f>
        <v>Sub-Saharan Africa</v>
      </c>
      <c r="D100">
        <v>4.944</v>
      </c>
      <c r="E100">
        <v>0.56899999999999995</v>
      </c>
      <c r="F100">
        <v>0.80800000000000005</v>
      </c>
      <c r="G100">
        <v>0.23200000000000001</v>
      </c>
      <c r="H100">
        <v>0.35199999999999998</v>
      </c>
      <c r="I100">
        <v>0.154</v>
      </c>
      <c r="J100">
        <v>0.09</v>
      </c>
      <c r="K100">
        <v>2019</v>
      </c>
    </row>
    <row r="101" spans="1:11" x14ac:dyDescent="0.3">
      <c r="A101">
        <v>100</v>
      </c>
      <c r="B101" s="1" t="s">
        <v>142</v>
      </c>
      <c r="C101" s="1" t="str">
        <f>VLOOKUP(_2019[[#This Row],[Country or region]],'2016'!$1:$1048576,2,FALSE)</f>
        <v>Southern Asia</v>
      </c>
      <c r="D101">
        <v>4.9130000000000003</v>
      </c>
      <c r="E101">
        <v>0.44600000000000001</v>
      </c>
      <c r="F101">
        <v>1.226</v>
      </c>
      <c r="G101">
        <v>0.67700000000000005</v>
      </c>
      <c r="H101">
        <v>0.439</v>
      </c>
      <c r="I101">
        <v>0.28499999999999998</v>
      </c>
      <c r="J101">
        <v>8.8999999999999996E-2</v>
      </c>
      <c r="K101">
        <v>2019</v>
      </c>
    </row>
    <row r="102" spans="1:11" x14ac:dyDescent="0.3">
      <c r="A102">
        <v>101</v>
      </c>
      <c r="B102" s="1" t="s">
        <v>103</v>
      </c>
      <c r="C102" s="1" t="str">
        <f>VLOOKUP(_2019[[#This Row],[Country or region]],'2016'!$1:$1048576,2,FALSE)</f>
        <v>Middle East and Northern Africa</v>
      </c>
      <c r="D102">
        <v>4.9059999999999997</v>
      </c>
      <c r="E102">
        <v>0.83699999999999997</v>
      </c>
      <c r="F102">
        <v>1.2250000000000001</v>
      </c>
      <c r="G102">
        <v>0.81499999999999995</v>
      </c>
      <c r="H102">
        <v>0.38300000000000001</v>
      </c>
      <c r="I102">
        <v>0.11</v>
      </c>
      <c r="J102">
        <v>0.13</v>
      </c>
      <c r="K102">
        <v>2019</v>
      </c>
    </row>
    <row r="103" spans="1:11" x14ac:dyDescent="0.3">
      <c r="A103">
        <v>102</v>
      </c>
      <c r="B103" s="1" t="s">
        <v>176</v>
      </c>
      <c r="C103" s="1" t="str">
        <f>VLOOKUP(_2019[[#This Row],[Country or region]],'2016'!$1:$1048576,2,FALSE)</f>
        <v>Sub-Saharan Africa</v>
      </c>
      <c r="D103">
        <v>4.883</v>
      </c>
      <c r="E103">
        <v>0.39300000000000002</v>
      </c>
      <c r="F103">
        <v>0.437</v>
      </c>
      <c r="G103">
        <v>0.39700000000000002</v>
      </c>
      <c r="H103">
        <v>0.34899999999999998</v>
      </c>
      <c r="I103">
        <v>0.17499999999999999</v>
      </c>
      <c r="J103">
        <v>8.2000000000000003E-2</v>
      </c>
      <c r="K103">
        <v>2019</v>
      </c>
    </row>
    <row r="104" spans="1:11" x14ac:dyDescent="0.3">
      <c r="A104">
        <v>103</v>
      </c>
      <c r="B104" s="1" t="s">
        <v>160</v>
      </c>
      <c r="C104" s="1" t="str">
        <f>VLOOKUP(_2019[[#This Row],[Country or region]],'2016'!$1:$1048576,2,FALSE)</f>
        <v>Sub-Saharan Africa</v>
      </c>
      <c r="D104">
        <v>4.8120000000000003</v>
      </c>
      <c r="E104">
        <v>0.67300000000000004</v>
      </c>
      <c r="F104">
        <v>0.79900000000000004</v>
      </c>
      <c r="G104">
        <v>0.50800000000000001</v>
      </c>
      <c r="H104">
        <v>0.372</v>
      </c>
      <c r="I104">
        <v>0.105</v>
      </c>
      <c r="J104">
        <v>9.2999999999999999E-2</v>
      </c>
      <c r="K104">
        <v>2019</v>
      </c>
    </row>
    <row r="105" spans="1:11" x14ac:dyDescent="0.3">
      <c r="A105">
        <v>104</v>
      </c>
      <c r="B105" s="1" t="s">
        <v>164</v>
      </c>
      <c r="C105" s="1" t="str">
        <f>VLOOKUP(_2019[[#This Row],[Country or region]],'2016'!$1:$1048576,2,FALSE)</f>
        <v>Sub-Saharan Africa</v>
      </c>
      <c r="D105">
        <v>4.7990000000000004</v>
      </c>
      <c r="E105">
        <v>1.0569999999999999</v>
      </c>
      <c r="F105">
        <v>1.1830000000000001</v>
      </c>
      <c r="G105">
        <v>0.57099999999999995</v>
      </c>
      <c r="H105">
        <v>0.29499999999999998</v>
      </c>
      <c r="I105">
        <v>4.2999999999999997E-2</v>
      </c>
      <c r="J105">
        <v>5.5E-2</v>
      </c>
      <c r="K105">
        <v>2019</v>
      </c>
    </row>
    <row r="106" spans="1:11" x14ac:dyDescent="0.3">
      <c r="A106">
        <v>105</v>
      </c>
      <c r="B106" s="1" t="s">
        <v>120</v>
      </c>
      <c r="C106" s="1" t="str">
        <f>VLOOKUP(_2019[[#This Row],[Country or region]],'2016'!$1:$1048576,2,FALSE)</f>
        <v>Southeastern Asia</v>
      </c>
      <c r="D106">
        <v>4.7960000000000003</v>
      </c>
      <c r="E106">
        <v>0.76400000000000001</v>
      </c>
      <c r="F106">
        <v>1.03</v>
      </c>
      <c r="G106">
        <v>0.55100000000000005</v>
      </c>
      <c r="H106">
        <v>0.54700000000000004</v>
      </c>
      <c r="I106">
        <v>0.26600000000000001</v>
      </c>
      <c r="J106">
        <v>0.16400000000000001</v>
      </c>
      <c r="K106">
        <v>2019</v>
      </c>
    </row>
    <row r="107" spans="1:11" x14ac:dyDescent="0.3">
      <c r="A107">
        <v>106</v>
      </c>
      <c r="B107" s="1" t="s">
        <v>134</v>
      </c>
      <c r="C107" s="1" t="str">
        <f>VLOOKUP(_2019[[#This Row],[Country or region]],'2016'!$1:$1048576,2,FALSE)</f>
        <v>Sub-Saharan Africa</v>
      </c>
      <c r="D107">
        <v>4.7220000000000004</v>
      </c>
      <c r="E107">
        <v>0.96</v>
      </c>
      <c r="F107">
        <v>1.351</v>
      </c>
      <c r="G107">
        <v>0.46899999999999997</v>
      </c>
      <c r="H107">
        <v>0.38900000000000001</v>
      </c>
      <c r="I107">
        <v>0.13</v>
      </c>
      <c r="J107">
        <v>5.5E-2</v>
      </c>
      <c r="K107">
        <v>2019</v>
      </c>
    </row>
    <row r="108" spans="1:11" x14ac:dyDescent="0.3">
      <c r="A108">
        <v>107</v>
      </c>
      <c r="B108" s="1" t="s">
        <v>116</v>
      </c>
      <c r="C108" s="1" t="str">
        <f>VLOOKUP(_2019[[#This Row],[Country or region]],'2016'!$1:$1048576,2,FALSE)</f>
        <v>Central and Eastern Europe</v>
      </c>
      <c r="D108">
        <v>4.7190000000000003</v>
      </c>
      <c r="E108">
        <v>0.94699999999999995</v>
      </c>
      <c r="F108">
        <v>0.84799999999999998</v>
      </c>
      <c r="G108">
        <v>0.874</v>
      </c>
      <c r="H108">
        <v>0.38300000000000001</v>
      </c>
      <c r="I108">
        <v>0.17799999999999999</v>
      </c>
      <c r="J108">
        <v>2.7E-2</v>
      </c>
      <c r="K108">
        <v>2019</v>
      </c>
    </row>
    <row r="109" spans="1:11" x14ac:dyDescent="0.3">
      <c r="A109">
        <v>108</v>
      </c>
      <c r="B109" s="1" t="s">
        <v>39</v>
      </c>
      <c r="C109" s="1" t="str">
        <f>VLOOKUP(_2019[[#This Row],[Country or region]],'2016'!$1:$1048576,2,FALSE)</f>
        <v>Latin America and Caribbean</v>
      </c>
      <c r="D109">
        <v>4.7069999999999999</v>
      </c>
      <c r="E109">
        <v>0.96</v>
      </c>
      <c r="F109">
        <v>1.427</v>
      </c>
      <c r="G109">
        <v>0.80500000000000005</v>
      </c>
      <c r="H109">
        <v>0.154</v>
      </c>
      <c r="I109">
        <v>6.4000000000000001E-2</v>
      </c>
      <c r="J109">
        <v>4.7E-2</v>
      </c>
      <c r="K109">
        <v>2019</v>
      </c>
    </row>
    <row r="110" spans="1:11" x14ac:dyDescent="0.3">
      <c r="A110">
        <v>109</v>
      </c>
      <c r="B110" s="1" t="s">
        <v>166</v>
      </c>
      <c r="C110" s="1" t="str">
        <f>VLOOKUP(_2019[[#This Row],[Country or region]],'2016'!$1:$1048576,2,FALSE)</f>
        <v>Southeastern Asia</v>
      </c>
      <c r="D110">
        <v>4.7</v>
      </c>
      <c r="E110">
        <v>0.57399999999999995</v>
      </c>
      <c r="F110">
        <v>1.1220000000000001</v>
      </c>
      <c r="G110">
        <v>0.63700000000000001</v>
      </c>
      <c r="H110">
        <v>0.60899999999999999</v>
      </c>
      <c r="I110">
        <v>0.23200000000000001</v>
      </c>
      <c r="J110">
        <v>6.2E-2</v>
      </c>
      <c r="K110">
        <v>2019</v>
      </c>
    </row>
    <row r="111" spans="1:11" x14ac:dyDescent="0.3">
      <c r="A111">
        <v>110</v>
      </c>
      <c r="B111" s="1" t="s">
        <v>129</v>
      </c>
      <c r="C111" s="1" t="str">
        <f>VLOOKUP(_2019[[#This Row],[Country or region]],'2016'!$1:$1048576,2,FALSE)</f>
        <v>Middle East and Northern Africa</v>
      </c>
      <c r="D111">
        <v>4.6959999999999997</v>
      </c>
      <c r="E111">
        <v>0.65700000000000003</v>
      </c>
      <c r="F111">
        <v>1.2470000000000001</v>
      </c>
      <c r="G111">
        <v>0.67200000000000004</v>
      </c>
      <c r="H111">
        <v>0.22500000000000001</v>
      </c>
      <c r="I111">
        <v>0.10299999999999999</v>
      </c>
      <c r="J111">
        <v>6.6000000000000003E-2</v>
      </c>
      <c r="K111">
        <v>2019</v>
      </c>
    </row>
    <row r="112" spans="1:11" x14ac:dyDescent="0.3">
      <c r="A112">
        <v>111</v>
      </c>
      <c r="B112" s="1" t="s">
        <v>163</v>
      </c>
      <c r="C112" s="1" t="str">
        <f>VLOOKUP(_2019[[#This Row],[Country or region]],'2016'!$1:$1048576,2,FALSE)</f>
        <v>Sub-Saharan Africa</v>
      </c>
      <c r="D112">
        <v>4.681</v>
      </c>
      <c r="E112">
        <v>0.45</v>
      </c>
      <c r="F112">
        <v>1.1339999999999999</v>
      </c>
      <c r="G112">
        <v>0.57099999999999995</v>
      </c>
      <c r="H112">
        <v>0.29199999999999998</v>
      </c>
      <c r="I112">
        <v>0.153</v>
      </c>
      <c r="J112">
        <v>7.1999999999999995E-2</v>
      </c>
      <c r="K112">
        <v>2019</v>
      </c>
    </row>
    <row r="113" spans="1:11" x14ac:dyDescent="0.3">
      <c r="A113">
        <v>112</v>
      </c>
      <c r="B113" s="1" t="s">
        <v>184</v>
      </c>
      <c r="C113" s="1" t="str">
        <f>VLOOKUP(_2019[[#This Row],[Country or region]],'2016'!$1:$1048576,2,FALSE)</f>
        <v>Sub-Saharan Africa</v>
      </c>
      <c r="D113">
        <v>4.6680000000000001</v>
      </c>
      <c r="E113">
        <v>0</v>
      </c>
      <c r="F113">
        <v>0.69799999999999995</v>
      </c>
      <c r="G113">
        <v>0.26800000000000002</v>
      </c>
      <c r="H113">
        <v>0.55900000000000005</v>
      </c>
      <c r="I113">
        <v>0.24299999999999999</v>
      </c>
      <c r="J113">
        <v>0.27</v>
      </c>
      <c r="K113">
        <v>2019</v>
      </c>
    </row>
    <row r="114" spans="1:11" x14ac:dyDescent="0.3">
      <c r="A114">
        <v>113</v>
      </c>
      <c r="B114" s="1" t="s">
        <v>186</v>
      </c>
      <c r="C114" s="1" t="str">
        <f>VLOOKUP(_2019[[#This Row],[Country or region]],'2016'!$1:$1048576,2,FALSE)</f>
        <v>Sub-Saharan Africa</v>
      </c>
      <c r="D114">
        <v>4.6390000000000002</v>
      </c>
      <c r="E114">
        <v>0.879</v>
      </c>
      <c r="F114">
        <v>1.3129999999999999</v>
      </c>
      <c r="G114">
        <v>0.47699999999999998</v>
      </c>
      <c r="H114">
        <v>0.40100000000000002</v>
      </c>
      <c r="I114">
        <v>7.0000000000000007E-2</v>
      </c>
      <c r="J114">
        <v>5.6000000000000001E-2</v>
      </c>
      <c r="K114">
        <v>2019</v>
      </c>
    </row>
    <row r="115" spans="1:11" x14ac:dyDescent="0.3">
      <c r="A115">
        <v>114</v>
      </c>
      <c r="B115" s="1" t="s">
        <v>165</v>
      </c>
      <c r="C115" s="1" t="str">
        <f>VLOOKUP(_2019[[#This Row],[Country or region]],'2016'!$1:$1048576,2,FALSE)</f>
        <v>Sub-Saharan Africa</v>
      </c>
      <c r="D115">
        <v>4.6280000000000001</v>
      </c>
      <c r="E115">
        <v>0.13800000000000001</v>
      </c>
      <c r="F115">
        <v>0.77400000000000002</v>
      </c>
      <c r="G115">
        <v>0.36599999999999999</v>
      </c>
      <c r="H115">
        <v>0.318</v>
      </c>
      <c r="I115">
        <v>0.188</v>
      </c>
      <c r="J115">
        <v>0.10199999999999999</v>
      </c>
      <c r="K115">
        <v>2019</v>
      </c>
    </row>
    <row r="116" spans="1:11" x14ac:dyDescent="0.3">
      <c r="A116">
        <v>115</v>
      </c>
      <c r="B116" s="1" t="s">
        <v>173</v>
      </c>
      <c r="C116" s="1" t="str">
        <f>VLOOKUP(_2019[[#This Row],[Country or region]],'2016'!$1:$1048576,2,FALSE)</f>
        <v>Sub-Saharan Africa</v>
      </c>
      <c r="D116">
        <v>4.5869999999999997</v>
      </c>
      <c r="E116">
        <v>0.33100000000000002</v>
      </c>
      <c r="F116">
        <v>1.056</v>
      </c>
      <c r="G116">
        <v>0.38</v>
      </c>
      <c r="H116">
        <v>0.255</v>
      </c>
      <c r="I116">
        <v>0.17699999999999999</v>
      </c>
      <c r="J116">
        <v>0.113</v>
      </c>
      <c r="K116">
        <v>2019</v>
      </c>
    </row>
    <row r="117" spans="1:11" x14ac:dyDescent="0.3">
      <c r="A117">
        <v>116</v>
      </c>
      <c r="B117" s="1" t="s">
        <v>148</v>
      </c>
      <c r="C117" s="1" t="str">
        <f>VLOOKUP(_2019[[#This Row],[Country or region]],'2016'!$1:$1048576,2,FALSE)</f>
        <v>Central and Eastern Europe</v>
      </c>
      <c r="D117">
        <v>4.5590000000000002</v>
      </c>
      <c r="E117">
        <v>0.85</v>
      </c>
      <c r="F117">
        <v>1.0549999999999999</v>
      </c>
      <c r="G117">
        <v>0.81499999999999995</v>
      </c>
      <c r="H117">
        <v>0.28299999999999997</v>
      </c>
      <c r="I117">
        <v>9.5000000000000001E-2</v>
      </c>
      <c r="J117">
        <v>6.4000000000000001E-2</v>
      </c>
      <c r="K117">
        <v>2019</v>
      </c>
    </row>
    <row r="118" spans="1:11" x14ac:dyDescent="0.3">
      <c r="A118">
        <v>117</v>
      </c>
      <c r="B118" s="1" t="s">
        <v>131</v>
      </c>
      <c r="C118" s="1" t="str">
        <f>VLOOKUP(_2019[[#This Row],[Country or region]],'2016'!$1:$1048576,2,FALSE)</f>
        <v>Middle East and Northern Africa</v>
      </c>
      <c r="D118">
        <v>4.548</v>
      </c>
      <c r="E118">
        <v>1.1000000000000001</v>
      </c>
      <c r="F118">
        <v>0.84199999999999997</v>
      </c>
      <c r="G118">
        <v>0.78500000000000003</v>
      </c>
      <c r="H118">
        <v>0.30499999999999999</v>
      </c>
      <c r="I118">
        <v>0.27</v>
      </c>
      <c r="J118">
        <v>0.125</v>
      </c>
      <c r="K118">
        <v>2019</v>
      </c>
    </row>
    <row r="119" spans="1:11" x14ac:dyDescent="0.3">
      <c r="A119">
        <v>118</v>
      </c>
      <c r="B119" s="1" t="s">
        <v>171</v>
      </c>
      <c r="C119" s="1" t="str">
        <f>VLOOKUP(_2019[[#This Row],[Country or region]],'2016'!$1:$1048576,2,FALSE)</f>
        <v>Sub-Saharan Africa</v>
      </c>
      <c r="D119">
        <v>4.5339999999999998</v>
      </c>
      <c r="E119">
        <v>0.38</v>
      </c>
      <c r="F119">
        <v>0.82899999999999996</v>
      </c>
      <c r="G119">
        <v>0.375</v>
      </c>
      <c r="H119">
        <v>0.33200000000000002</v>
      </c>
      <c r="I119">
        <v>0.20699999999999999</v>
      </c>
      <c r="J119">
        <v>8.5999999999999993E-2</v>
      </c>
      <c r="K119">
        <v>2019</v>
      </c>
    </row>
    <row r="120" spans="1:11" x14ac:dyDescent="0.3">
      <c r="A120">
        <v>119</v>
      </c>
      <c r="B120" s="1" t="s">
        <v>151</v>
      </c>
      <c r="C120" s="1" t="str">
        <f>VLOOKUP(_2019[[#This Row],[Country or region]],'2016'!$1:$1048576,2,FALSE)</f>
        <v>Central and Eastern Europe</v>
      </c>
      <c r="D120">
        <v>4.5190000000000001</v>
      </c>
      <c r="E120">
        <v>0.88600000000000001</v>
      </c>
      <c r="F120">
        <v>0.66600000000000004</v>
      </c>
      <c r="G120">
        <v>0.752</v>
      </c>
      <c r="H120">
        <v>0.34599999999999997</v>
      </c>
      <c r="I120">
        <v>4.2999999999999997E-2</v>
      </c>
      <c r="J120">
        <v>0.16400000000000001</v>
      </c>
      <c r="K120">
        <v>2019</v>
      </c>
    </row>
    <row r="121" spans="1:11" x14ac:dyDescent="0.3">
      <c r="A121">
        <v>120</v>
      </c>
      <c r="B121" s="1" t="s">
        <v>320</v>
      </c>
      <c r="C121" s="1" t="s">
        <v>323</v>
      </c>
      <c r="D121">
        <v>4.516</v>
      </c>
      <c r="E121">
        <v>0.308</v>
      </c>
      <c r="F121">
        <v>0.93899999999999995</v>
      </c>
      <c r="G121">
        <v>0.42799999999999999</v>
      </c>
      <c r="H121">
        <v>0.38200000000000001</v>
      </c>
      <c r="I121">
        <v>0.26900000000000002</v>
      </c>
      <c r="J121">
        <v>0.16700000000000001</v>
      </c>
      <c r="K121">
        <v>2019</v>
      </c>
    </row>
    <row r="122" spans="1:11" x14ac:dyDescent="0.3">
      <c r="A122">
        <v>121</v>
      </c>
      <c r="B122" s="1" t="s">
        <v>146</v>
      </c>
      <c r="C122" s="1" t="str">
        <f>VLOOKUP(_2019[[#This Row],[Country or region]],'2016'!$1:$1048576,2,FALSE)</f>
        <v>Sub-Saharan Africa</v>
      </c>
      <c r="D122">
        <v>4.5090000000000003</v>
      </c>
      <c r="E122">
        <v>0.51200000000000001</v>
      </c>
      <c r="F122">
        <v>0.98299999999999998</v>
      </c>
      <c r="G122">
        <v>0.58099999999999996</v>
      </c>
      <c r="H122">
        <v>0.43099999999999999</v>
      </c>
      <c r="I122">
        <v>0.372</v>
      </c>
      <c r="J122">
        <v>5.2999999999999999E-2</v>
      </c>
      <c r="K122">
        <v>2019</v>
      </c>
    </row>
    <row r="123" spans="1:11" x14ac:dyDescent="0.3">
      <c r="A123">
        <v>122</v>
      </c>
      <c r="B123" s="1" t="s">
        <v>145</v>
      </c>
      <c r="C123" s="1" t="str">
        <f>VLOOKUP(_2019[[#This Row],[Country or region]],'2016'!$1:$1048576,2,FALSE)</f>
        <v>Sub-Saharan Africa</v>
      </c>
      <c r="D123">
        <v>4.49</v>
      </c>
      <c r="E123">
        <v>0.56999999999999995</v>
      </c>
      <c r="F123">
        <v>1.167</v>
      </c>
      <c r="G123">
        <v>0.48899999999999999</v>
      </c>
      <c r="H123">
        <v>6.6000000000000003E-2</v>
      </c>
      <c r="I123">
        <v>0.106</v>
      </c>
      <c r="J123">
        <v>8.7999999999999995E-2</v>
      </c>
      <c r="K123">
        <v>2019</v>
      </c>
    </row>
    <row r="124" spans="1:11" x14ac:dyDescent="0.3">
      <c r="A124">
        <v>123</v>
      </c>
      <c r="B124" s="1" t="s">
        <v>115</v>
      </c>
      <c r="C124" s="1" t="s">
        <v>91</v>
      </c>
      <c r="D124">
        <v>4.4660000000000002</v>
      </c>
      <c r="E124">
        <v>0.20399999999999999</v>
      </c>
      <c r="F124">
        <v>0.98599999999999999</v>
      </c>
      <c r="G124">
        <v>0.39</v>
      </c>
      <c r="H124">
        <v>0.49399999999999999</v>
      </c>
      <c r="I124">
        <v>0.19700000000000001</v>
      </c>
      <c r="J124">
        <v>0.13800000000000001</v>
      </c>
      <c r="K124">
        <v>2019</v>
      </c>
    </row>
    <row r="125" spans="1:11" x14ac:dyDescent="0.3">
      <c r="A125">
        <v>124</v>
      </c>
      <c r="B125" s="1" t="s">
        <v>128</v>
      </c>
      <c r="C125" s="1" t="str">
        <f>VLOOKUP(_2019[[#This Row],[Country or region]],'2016'!$1:$1048576,2,FALSE)</f>
        <v>Middle East and Northern Africa</v>
      </c>
      <c r="D125">
        <v>4.4610000000000003</v>
      </c>
      <c r="E125">
        <v>0.92100000000000004</v>
      </c>
      <c r="F125">
        <v>1</v>
      </c>
      <c r="G125">
        <v>0.81499999999999995</v>
      </c>
      <c r="H125">
        <v>0.16700000000000001</v>
      </c>
      <c r="I125">
        <v>5.8999999999999997E-2</v>
      </c>
      <c r="J125">
        <v>5.5E-2</v>
      </c>
      <c r="K125">
        <v>2019</v>
      </c>
    </row>
    <row r="126" spans="1:11" x14ac:dyDescent="0.3">
      <c r="A126">
        <v>125</v>
      </c>
      <c r="B126" s="1" t="s">
        <v>130</v>
      </c>
      <c r="C126" s="1" t="str">
        <f>VLOOKUP(_2019[[#This Row],[Country or region]],'2016'!$1:$1048576,2,FALSE)</f>
        <v>Southern Asia</v>
      </c>
      <c r="D126">
        <v>4.4560000000000004</v>
      </c>
      <c r="E126">
        <v>0.56200000000000006</v>
      </c>
      <c r="F126">
        <v>0.92800000000000005</v>
      </c>
      <c r="G126">
        <v>0.72299999999999998</v>
      </c>
      <c r="H126">
        <v>0.52700000000000002</v>
      </c>
      <c r="I126">
        <v>0.16600000000000001</v>
      </c>
      <c r="J126">
        <v>0.14299999999999999</v>
      </c>
      <c r="K126">
        <v>2019</v>
      </c>
    </row>
    <row r="127" spans="1:11" x14ac:dyDescent="0.3">
      <c r="A127">
        <v>126</v>
      </c>
      <c r="B127" s="1" t="s">
        <v>133</v>
      </c>
      <c r="C127" s="1" t="str">
        <f>VLOOKUP(_2019[[#This Row],[Country or region]],'2016'!$1:$1048576,2,FALSE)</f>
        <v>Middle East and Northern Africa</v>
      </c>
      <c r="D127">
        <v>4.4370000000000003</v>
      </c>
      <c r="E127">
        <v>1.0429999999999999</v>
      </c>
      <c r="F127">
        <v>0.98</v>
      </c>
      <c r="G127">
        <v>0.57399999999999995</v>
      </c>
      <c r="H127">
        <v>0.24099999999999999</v>
      </c>
      <c r="I127">
        <v>0.14799999999999999</v>
      </c>
      <c r="J127">
        <v>8.8999999999999996E-2</v>
      </c>
      <c r="K127">
        <v>2019</v>
      </c>
    </row>
    <row r="128" spans="1:11" x14ac:dyDescent="0.3">
      <c r="A128">
        <v>127</v>
      </c>
      <c r="B128" s="1" t="s">
        <v>141</v>
      </c>
      <c r="C128" s="1" t="str">
        <f>VLOOKUP(_2019[[#This Row],[Country or region]],'2016'!$1:$1048576,2,FALSE)</f>
        <v>Sub-Saharan Africa</v>
      </c>
      <c r="D128">
        <v>4.4180000000000001</v>
      </c>
      <c r="E128">
        <v>9.4E-2</v>
      </c>
      <c r="F128">
        <v>1.125</v>
      </c>
      <c r="G128">
        <v>0.35699999999999998</v>
      </c>
      <c r="H128">
        <v>0.26900000000000002</v>
      </c>
      <c r="I128">
        <v>0.21199999999999999</v>
      </c>
      <c r="J128">
        <v>5.2999999999999999E-2</v>
      </c>
      <c r="K128">
        <v>2019</v>
      </c>
    </row>
    <row r="129" spans="1:11" x14ac:dyDescent="0.3">
      <c r="A129">
        <v>128</v>
      </c>
      <c r="B129" s="1" t="s">
        <v>159</v>
      </c>
      <c r="C129" s="1" t="str">
        <f>VLOOKUP(_2019[[#This Row],[Country or region]],'2016'!$1:$1048576,2,FALSE)</f>
        <v>Sub-Saharan Africa</v>
      </c>
      <c r="D129">
        <v>4.3899999999999997</v>
      </c>
      <c r="E129">
        <v>0.38500000000000001</v>
      </c>
      <c r="F129">
        <v>1.105</v>
      </c>
      <c r="G129">
        <v>0.308</v>
      </c>
      <c r="H129">
        <v>0.32700000000000001</v>
      </c>
      <c r="I129">
        <v>0.153</v>
      </c>
      <c r="J129">
        <v>5.1999999999999998E-2</v>
      </c>
      <c r="K129">
        <v>2019</v>
      </c>
    </row>
    <row r="130" spans="1:11" x14ac:dyDescent="0.3">
      <c r="A130">
        <v>129</v>
      </c>
      <c r="B130" s="1" t="s">
        <v>144</v>
      </c>
      <c r="C130" s="1" t="str">
        <f>VLOOKUP(_2019[[#This Row],[Country or region]],'2016'!$1:$1048576,2,FALSE)</f>
        <v>Sub-Saharan Africa</v>
      </c>
      <c r="D130">
        <v>4.3739999999999997</v>
      </c>
      <c r="E130">
        <v>0.26800000000000002</v>
      </c>
      <c r="F130">
        <v>0.84099999999999997</v>
      </c>
      <c r="G130">
        <v>0.24199999999999999</v>
      </c>
      <c r="H130">
        <v>0.309</v>
      </c>
      <c r="I130">
        <v>0.252</v>
      </c>
      <c r="J130">
        <v>4.4999999999999998E-2</v>
      </c>
      <c r="K130">
        <v>2019</v>
      </c>
    </row>
    <row r="131" spans="1:11" x14ac:dyDescent="0.3">
      <c r="A131">
        <v>130</v>
      </c>
      <c r="B131" s="1" t="s">
        <v>153</v>
      </c>
      <c r="C131" s="1" t="str">
        <f>VLOOKUP(_2019[[#This Row],[Country or region]],'2016'!$1:$1048576,2,FALSE)</f>
        <v>Southern Asia</v>
      </c>
      <c r="D131">
        <v>4.3659999999999997</v>
      </c>
      <c r="E131">
        <v>0.94899999999999995</v>
      </c>
      <c r="F131">
        <v>1.2649999999999999</v>
      </c>
      <c r="G131">
        <v>0.83099999999999996</v>
      </c>
      <c r="H131">
        <v>0.47</v>
      </c>
      <c r="I131">
        <v>0.24399999999999999</v>
      </c>
      <c r="J131">
        <v>4.7E-2</v>
      </c>
      <c r="K131">
        <v>2019</v>
      </c>
    </row>
    <row r="132" spans="1:11" x14ac:dyDescent="0.3">
      <c r="A132">
        <v>131</v>
      </c>
      <c r="B132" s="1" t="s">
        <v>150</v>
      </c>
      <c r="C132" s="1" t="str">
        <f>VLOOKUP(_2019[[#This Row],[Country or region]],'2016'!$1:$1048576,2,FALSE)</f>
        <v>Southeastern Asia</v>
      </c>
      <c r="D132">
        <v>4.3600000000000003</v>
      </c>
      <c r="E132">
        <v>0.71</v>
      </c>
      <c r="F132">
        <v>1.181</v>
      </c>
      <c r="G132">
        <v>0.55500000000000005</v>
      </c>
      <c r="H132">
        <v>0.52500000000000002</v>
      </c>
      <c r="I132">
        <v>0.56599999999999995</v>
      </c>
      <c r="J132">
        <v>0.17199999999999999</v>
      </c>
      <c r="K132">
        <v>2019</v>
      </c>
    </row>
    <row r="133" spans="1:11" x14ac:dyDescent="0.3">
      <c r="A133">
        <v>132</v>
      </c>
      <c r="B133" s="1" t="s">
        <v>170</v>
      </c>
      <c r="C133" s="1" t="str">
        <f>VLOOKUP(_2019[[#This Row],[Country or region]],'2016'!$1:$1048576,2,FALSE)</f>
        <v>Sub-Saharan Africa</v>
      </c>
      <c r="D133">
        <v>4.3499999999999996</v>
      </c>
      <c r="E133">
        <v>0.35</v>
      </c>
      <c r="F133">
        <v>0.76600000000000001</v>
      </c>
      <c r="G133">
        <v>0.192</v>
      </c>
      <c r="H133">
        <v>0.17399999999999999</v>
      </c>
      <c r="I133">
        <v>0.19800000000000001</v>
      </c>
      <c r="J133">
        <v>7.8E-2</v>
      </c>
      <c r="K133">
        <v>2019</v>
      </c>
    </row>
    <row r="134" spans="1:11" x14ac:dyDescent="0.3">
      <c r="A134">
        <v>133</v>
      </c>
      <c r="B134" s="1" t="s">
        <v>132</v>
      </c>
      <c r="C134" s="1" t="str">
        <f>VLOOKUP(_2019[[#This Row],[Country or region]],'2016'!$1:$1048576,2,FALSE)</f>
        <v>Central and Eastern Europe</v>
      </c>
      <c r="D134">
        <v>4.3319999999999999</v>
      </c>
      <c r="E134">
        <v>0.82</v>
      </c>
      <c r="F134">
        <v>1.39</v>
      </c>
      <c r="G134">
        <v>0.73899999999999999</v>
      </c>
      <c r="H134">
        <v>0.17799999999999999</v>
      </c>
      <c r="I134">
        <v>0.187</v>
      </c>
      <c r="J134">
        <v>0.01</v>
      </c>
      <c r="K134">
        <v>2019</v>
      </c>
    </row>
    <row r="135" spans="1:11" x14ac:dyDescent="0.3">
      <c r="A135">
        <v>134</v>
      </c>
      <c r="B135" s="1" t="s">
        <v>143</v>
      </c>
      <c r="C135" s="1" t="str">
        <f>VLOOKUP(_2019[[#This Row],[Country or region]],'2016'!$1:$1048576,2,FALSE)</f>
        <v>Sub-Saharan Africa</v>
      </c>
      <c r="D135">
        <v>4.2859999999999996</v>
      </c>
      <c r="E135">
        <v>0.33600000000000002</v>
      </c>
      <c r="F135">
        <v>1.0329999999999999</v>
      </c>
      <c r="G135">
        <v>0.53200000000000003</v>
      </c>
      <c r="H135">
        <v>0.34399999999999997</v>
      </c>
      <c r="I135">
        <v>0.20899999999999999</v>
      </c>
      <c r="J135">
        <v>0.1</v>
      </c>
      <c r="K135">
        <v>2019</v>
      </c>
    </row>
    <row r="136" spans="1:11" x14ac:dyDescent="0.3">
      <c r="A136">
        <v>135</v>
      </c>
      <c r="B136" s="1" t="s">
        <v>122</v>
      </c>
      <c r="C136" s="1" t="s">
        <v>91</v>
      </c>
      <c r="D136">
        <v>4.2119999999999997</v>
      </c>
      <c r="E136">
        <v>0.81100000000000005</v>
      </c>
      <c r="F136">
        <v>1.149</v>
      </c>
      <c r="G136">
        <v>0</v>
      </c>
      <c r="H136">
        <v>0.313</v>
      </c>
      <c r="I136">
        <v>7.3999999999999996E-2</v>
      </c>
      <c r="J136">
        <v>0.13500000000000001</v>
      </c>
      <c r="K136">
        <v>2019</v>
      </c>
    </row>
    <row r="137" spans="1:11" x14ac:dyDescent="0.3">
      <c r="A137">
        <v>136</v>
      </c>
      <c r="B137" s="1" t="s">
        <v>162</v>
      </c>
      <c r="C137" s="1" t="str">
        <f>VLOOKUP(_2019[[#This Row],[Country or region]],'2016'!$1:$1048576,2,FALSE)</f>
        <v>Sub-Saharan Africa</v>
      </c>
      <c r="D137">
        <v>4.1890000000000001</v>
      </c>
      <c r="E137">
        <v>0.33200000000000002</v>
      </c>
      <c r="F137">
        <v>1.069</v>
      </c>
      <c r="G137">
        <v>0.443</v>
      </c>
      <c r="H137">
        <v>0.35599999999999998</v>
      </c>
      <c r="I137">
        <v>0.252</v>
      </c>
      <c r="J137">
        <v>0.06</v>
      </c>
      <c r="K137">
        <v>2019</v>
      </c>
    </row>
    <row r="138" spans="1:11" x14ac:dyDescent="0.3">
      <c r="A138">
        <v>137</v>
      </c>
      <c r="B138" s="1" t="s">
        <v>156</v>
      </c>
      <c r="C138" s="1" t="str">
        <f>VLOOKUP(_2019[[#This Row],[Country or region]],'2016'!$1:$1048576,2,FALSE)</f>
        <v>Middle East and Northern Africa</v>
      </c>
      <c r="D138">
        <v>4.1660000000000004</v>
      </c>
      <c r="E138">
        <v>0.91300000000000003</v>
      </c>
      <c r="F138">
        <v>1.0389999999999999</v>
      </c>
      <c r="G138">
        <v>0.64400000000000002</v>
      </c>
      <c r="H138">
        <v>0.24099999999999999</v>
      </c>
      <c r="I138">
        <v>7.5999999999999998E-2</v>
      </c>
      <c r="J138">
        <v>6.7000000000000004E-2</v>
      </c>
      <c r="K138">
        <v>2019</v>
      </c>
    </row>
    <row r="139" spans="1:11" x14ac:dyDescent="0.3">
      <c r="A139">
        <v>138</v>
      </c>
      <c r="B139" s="1" t="s">
        <v>106</v>
      </c>
      <c r="C139" s="1" t="str">
        <f>VLOOKUP(_2019[[#This Row],[Country or region]],'2016'!$1:$1048576,2,FALSE)</f>
        <v>Sub-Saharan Africa</v>
      </c>
      <c r="D139">
        <v>4.1070000000000002</v>
      </c>
      <c r="E139">
        <v>0.57799999999999996</v>
      </c>
      <c r="F139">
        <v>1.0580000000000001</v>
      </c>
      <c r="G139">
        <v>0.42599999999999999</v>
      </c>
      <c r="H139">
        <v>0.43099999999999999</v>
      </c>
      <c r="I139">
        <v>0.247</v>
      </c>
      <c r="J139">
        <v>8.6999999999999994E-2</v>
      </c>
      <c r="K139">
        <v>2019</v>
      </c>
    </row>
    <row r="140" spans="1:11" x14ac:dyDescent="0.3">
      <c r="A140">
        <v>139</v>
      </c>
      <c r="B140" s="1" t="s">
        <v>179</v>
      </c>
      <c r="C140" s="1" t="str">
        <f>VLOOKUP(_2019[[#This Row],[Country or region]],'2016'!$1:$1048576,2,FALSE)</f>
        <v>Sub-Saharan Africa</v>
      </c>
      <c r="D140">
        <v>4.085</v>
      </c>
      <c r="E140">
        <v>0.27500000000000002</v>
      </c>
      <c r="F140">
        <v>0.57199999999999995</v>
      </c>
      <c r="G140">
        <v>0.41</v>
      </c>
      <c r="H140">
        <v>0.29299999999999998</v>
      </c>
      <c r="I140">
        <v>0.17699999999999999</v>
      </c>
      <c r="J140">
        <v>8.5000000000000006E-2</v>
      </c>
      <c r="K140">
        <v>2019</v>
      </c>
    </row>
    <row r="141" spans="1:11" x14ac:dyDescent="0.3">
      <c r="A141">
        <v>140</v>
      </c>
      <c r="B141" s="1" t="s">
        <v>138</v>
      </c>
      <c r="C141" s="1" t="str">
        <f>VLOOKUP(_2019[[#This Row],[Country or region]],'2016'!$1:$1048576,2,FALSE)</f>
        <v>Southern Asia</v>
      </c>
      <c r="D141">
        <v>4.0149999999999997</v>
      </c>
      <c r="E141">
        <v>0.755</v>
      </c>
      <c r="F141">
        <v>0.76500000000000001</v>
      </c>
      <c r="G141">
        <v>0.58799999999999997</v>
      </c>
      <c r="H141">
        <v>0.498</v>
      </c>
      <c r="I141">
        <v>0.2</v>
      </c>
      <c r="J141">
        <v>8.5000000000000006E-2</v>
      </c>
      <c r="K141">
        <v>2019</v>
      </c>
    </row>
    <row r="142" spans="1:11" x14ac:dyDescent="0.3">
      <c r="A142">
        <v>141</v>
      </c>
      <c r="B142" s="1" t="s">
        <v>137</v>
      </c>
      <c r="C142" s="1" t="str">
        <f>VLOOKUP(_2019[[#This Row],[Country or region]],'2016'!$1:$1048576,2,FALSE)</f>
        <v>Sub-Saharan Africa</v>
      </c>
      <c r="D142">
        <v>3.9750000000000001</v>
      </c>
      <c r="E142">
        <v>7.2999999999999995E-2</v>
      </c>
      <c r="F142">
        <v>0.92200000000000004</v>
      </c>
      <c r="G142">
        <v>0.443</v>
      </c>
      <c r="H142">
        <v>0.37</v>
      </c>
      <c r="I142">
        <v>0.23300000000000001</v>
      </c>
      <c r="J142">
        <v>3.3000000000000002E-2</v>
      </c>
      <c r="K142">
        <v>2019</v>
      </c>
    </row>
    <row r="143" spans="1:11" x14ac:dyDescent="0.3">
      <c r="A143">
        <v>142</v>
      </c>
      <c r="B143" s="1" t="s">
        <v>161</v>
      </c>
      <c r="C143" s="1" t="str">
        <f>VLOOKUP(_2019[[#This Row],[Country or region]],'2016'!$1:$1048576,2,FALSE)</f>
        <v>Sub-Saharan Africa</v>
      </c>
      <c r="D143">
        <v>3.9729999999999999</v>
      </c>
      <c r="E143">
        <v>0.27400000000000002</v>
      </c>
      <c r="F143">
        <v>0.75700000000000001</v>
      </c>
      <c r="G143">
        <v>0.505</v>
      </c>
      <c r="H143">
        <v>0.14199999999999999</v>
      </c>
      <c r="I143">
        <v>0.27500000000000002</v>
      </c>
      <c r="J143">
        <v>7.8E-2</v>
      </c>
      <c r="K143">
        <v>2019</v>
      </c>
    </row>
    <row r="144" spans="1:11" x14ac:dyDescent="0.3">
      <c r="A144">
        <v>143</v>
      </c>
      <c r="B144" s="1" t="s">
        <v>168</v>
      </c>
      <c r="C144" s="1" t="str">
        <f>VLOOKUP(_2019[[#This Row],[Country or region]],'2016'!$1:$1048576,2,FALSE)</f>
        <v>Sub-Saharan Africa</v>
      </c>
      <c r="D144">
        <v>3.9329999999999998</v>
      </c>
      <c r="E144">
        <v>0.27400000000000002</v>
      </c>
      <c r="F144">
        <v>0.91600000000000004</v>
      </c>
      <c r="G144">
        <v>0.55500000000000005</v>
      </c>
      <c r="H144">
        <v>0.14799999999999999</v>
      </c>
      <c r="I144">
        <v>0.16900000000000001</v>
      </c>
      <c r="J144">
        <v>4.1000000000000002E-2</v>
      </c>
      <c r="K144">
        <v>2019</v>
      </c>
    </row>
    <row r="145" spans="1:11" x14ac:dyDescent="0.3">
      <c r="A145">
        <v>144</v>
      </c>
      <c r="B145" s="1" t="s">
        <v>118</v>
      </c>
      <c r="C145" s="1" t="s">
        <v>100</v>
      </c>
      <c r="D145">
        <v>3.802</v>
      </c>
      <c r="E145">
        <v>0.48899999999999999</v>
      </c>
      <c r="F145">
        <v>1.169</v>
      </c>
      <c r="G145">
        <v>0.16800000000000001</v>
      </c>
      <c r="H145">
        <v>0.35899999999999999</v>
      </c>
      <c r="I145">
        <v>0.107</v>
      </c>
      <c r="J145">
        <v>9.2999999999999999E-2</v>
      </c>
      <c r="K145">
        <v>2019</v>
      </c>
    </row>
    <row r="146" spans="1:11" x14ac:dyDescent="0.3">
      <c r="A146">
        <v>145</v>
      </c>
      <c r="B146" s="1" t="s">
        <v>178</v>
      </c>
      <c r="C146" s="1" t="str">
        <f>VLOOKUP(_2019[[#This Row],[Country or region]],'2016'!$1:$1048576,2,FALSE)</f>
        <v>Sub-Saharan Africa</v>
      </c>
      <c r="D146">
        <v>3.7749999999999999</v>
      </c>
      <c r="E146">
        <v>4.5999999999999999E-2</v>
      </c>
      <c r="F146">
        <v>0.44700000000000001</v>
      </c>
      <c r="G146">
        <v>0.38</v>
      </c>
      <c r="H146">
        <v>0.22</v>
      </c>
      <c r="I146">
        <v>0.17599999999999999</v>
      </c>
      <c r="J146">
        <v>0.18</v>
      </c>
      <c r="K146">
        <v>2019</v>
      </c>
    </row>
    <row r="147" spans="1:11" x14ac:dyDescent="0.3">
      <c r="A147">
        <v>146</v>
      </c>
      <c r="B147" s="1" t="s">
        <v>136</v>
      </c>
      <c r="C147" s="1" t="str">
        <f>VLOOKUP(_2019[[#This Row],[Country or region]],'2016'!$1:$1048576,2,FALSE)</f>
        <v>Sub-Saharan Africa</v>
      </c>
      <c r="D147">
        <v>3.6629999999999998</v>
      </c>
      <c r="E147">
        <v>0.36599999999999999</v>
      </c>
      <c r="F147">
        <v>1.1140000000000001</v>
      </c>
      <c r="G147">
        <v>0.433</v>
      </c>
      <c r="H147">
        <v>0.36099999999999999</v>
      </c>
      <c r="I147">
        <v>0.151</v>
      </c>
      <c r="J147">
        <v>8.8999999999999996E-2</v>
      </c>
      <c r="K147">
        <v>2019</v>
      </c>
    </row>
    <row r="148" spans="1:11" x14ac:dyDescent="0.3">
      <c r="A148">
        <v>147</v>
      </c>
      <c r="B148" s="1" t="s">
        <v>140</v>
      </c>
      <c r="C148" s="1" t="str">
        <f>VLOOKUP(_2019[[#This Row],[Country or region]],'2016'!$1:$1048576,2,FALSE)</f>
        <v>Latin America and Caribbean</v>
      </c>
      <c r="D148">
        <v>3.597</v>
      </c>
      <c r="E148">
        <v>0.32300000000000001</v>
      </c>
      <c r="F148">
        <v>0.68799999999999994</v>
      </c>
      <c r="G148">
        <v>0.44900000000000001</v>
      </c>
      <c r="H148">
        <v>2.5999999999999999E-2</v>
      </c>
      <c r="I148">
        <v>0.41899999999999998</v>
      </c>
      <c r="J148">
        <v>0.11</v>
      </c>
      <c r="K148">
        <v>2019</v>
      </c>
    </row>
    <row r="149" spans="1:11" x14ac:dyDescent="0.3">
      <c r="A149">
        <v>148</v>
      </c>
      <c r="B149" s="1" t="s">
        <v>149</v>
      </c>
      <c r="C149" s="1" t="str">
        <f>VLOOKUP(_2019[[#This Row],[Country or region]],'2016'!$1:$1048576,2,FALSE)</f>
        <v>Sub-Saharan Africa</v>
      </c>
      <c r="D149">
        <v>3.488</v>
      </c>
      <c r="E149">
        <v>1.0409999999999999</v>
      </c>
      <c r="F149">
        <v>1.145</v>
      </c>
      <c r="G149">
        <v>0.53800000000000003</v>
      </c>
      <c r="H149">
        <v>0.45500000000000002</v>
      </c>
      <c r="I149">
        <v>2.5000000000000001E-2</v>
      </c>
      <c r="J149">
        <v>0.1</v>
      </c>
      <c r="K149">
        <v>2019</v>
      </c>
    </row>
    <row r="150" spans="1:11" x14ac:dyDescent="0.3">
      <c r="A150">
        <v>149</v>
      </c>
      <c r="B150" s="1" t="s">
        <v>177</v>
      </c>
      <c r="C150" s="1" t="str">
        <f>VLOOKUP(_2019[[#This Row],[Country or region]],'2016'!$1:$1048576,2,FALSE)</f>
        <v>Middle East and Northern Africa</v>
      </c>
      <c r="D150">
        <v>3.4620000000000002</v>
      </c>
      <c r="E150">
        <v>0.61899999999999999</v>
      </c>
      <c r="F150">
        <v>0.378</v>
      </c>
      <c r="G150">
        <v>0.44</v>
      </c>
      <c r="H150">
        <v>1.2999999999999999E-2</v>
      </c>
      <c r="I150">
        <v>0.33100000000000002</v>
      </c>
      <c r="J150">
        <v>0.14099999999999999</v>
      </c>
      <c r="K150">
        <v>2019</v>
      </c>
    </row>
    <row r="151" spans="1:11" x14ac:dyDescent="0.3">
      <c r="A151">
        <v>150</v>
      </c>
      <c r="B151" s="1" t="s">
        <v>152</v>
      </c>
      <c r="C151" s="1" t="str">
        <f>VLOOKUP(_2019[[#This Row],[Country or region]],'2016'!$1:$1048576,2,FALSE)</f>
        <v>Sub-Saharan Africa</v>
      </c>
      <c r="D151">
        <v>3.41</v>
      </c>
      <c r="E151">
        <v>0.191</v>
      </c>
      <c r="F151">
        <v>0.56000000000000005</v>
      </c>
      <c r="G151">
        <v>0.495</v>
      </c>
      <c r="H151">
        <v>0.443</v>
      </c>
      <c r="I151">
        <v>0.218</v>
      </c>
      <c r="J151">
        <v>8.8999999999999996E-2</v>
      </c>
      <c r="K151">
        <v>2019</v>
      </c>
    </row>
    <row r="152" spans="1:11" x14ac:dyDescent="0.3">
      <c r="A152">
        <v>151</v>
      </c>
      <c r="B152" s="1" t="s">
        <v>157</v>
      </c>
      <c r="C152" s="1" t="str">
        <f>VLOOKUP(_2019[[#This Row],[Country or region]],'2016'!$1:$1048576,2,FALSE)</f>
        <v>Middle East and Northern Africa</v>
      </c>
      <c r="D152">
        <v>3.38</v>
      </c>
      <c r="E152">
        <v>0.28699999999999998</v>
      </c>
      <c r="F152">
        <v>1.163</v>
      </c>
      <c r="G152">
        <v>0.46300000000000002</v>
      </c>
      <c r="H152">
        <v>0.14299999999999999</v>
      </c>
      <c r="I152">
        <v>0.108</v>
      </c>
      <c r="J152">
        <v>7.6999999999999999E-2</v>
      </c>
      <c r="K152">
        <v>2019</v>
      </c>
    </row>
    <row r="153" spans="1:11" x14ac:dyDescent="0.3">
      <c r="A153">
        <v>152</v>
      </c>
      <c r="B153" s="1" t="s">
        <v>175</v>
      </c>
      <c r="C153" s="1" t="str">
        <f>VLOOKUP(_2019[[#This Row],[Country or region]],'2016'!$1:$1048576,2,FALSE)</f>
        <v>Sub-Saharan Africa</v>
      </c>
      <c r="D153">
        <v>3.3340000000000001</v>
      </c>
      <c r="E153">
        <v>0.35899999999999999</v>
      </c>
      <c r="F153">
        <v>0.71099999999999997</v>
      </c>
      <c r="G153">
        <v>0.61399999999999999</v>
      </c>
      <c r="H153">
        <v>0.55500000000000005</v>
      </c>
      <c r="I153">
        <v>0.217</v>
      </c>
      <c r="J153">
        <v>0.41099999999999998</v>
      </c>
      <c r="K153">
        <v>2019</v>
      </c>
    </row>
    <row r="154" spans="1:11" x14ac:dyDescent="0.3">
      <c r="A154">
        <v>153</v>
      </c>
      <c r="B154" s="1" t="s">
        <v>167</v>
      </c>
      <c r="C154" s="1" t="str">
        <f>VLOOKUP(_2019[[#This Row],[Country or region]],'2016'!$1:$1048576,2,FALSE)</f>
        <v>Sub-Saharan Africa</v>
      </c>
      <c r="D154">
        <v>3.2309999999999999</v>
      </c>
      <c r="E154">
        <v>0.47599999999999998</v>
      </c>
      <c r="F154">
        <v>0.88500000000000001</v>
      </c>
      <c r="G154">
        <v>0.499</v>
      </c>
      <c r="H154">
        <v>0.41699999999999998</v>
      </c>
      <c r="I154">
        <v>0.27600000000000002</v>
      </c>
      <c r="J154">
        <v>0.14699999999999999</v>
      </c>
      <c r="K154">
        <v>2019</v>
      </c>
    </row>
    <row r="155" spans="1:11" x14ac:dyDescent="0.3">
      <c r="A155">
        <v>154</v>
      </c>
      <c r="B155" s="1" t="s">
        <v>174</v>
      </c>
      <c r="C155" s="1" t="str">
        <f>VLOOKUP(_2019[[#This Row],[Country or region]],'2016'!$1:$1048576,2,FALSE)</f>
        <v>Southern Asia</v>
      </c>
      <c r="D155">
        <v>3.2029999999999998</v>
      </c>
      <c r="E155">
        <v>0.35</v>
      </c>
      <c r="F155">
        <v>0.51700000000000002</v>
      </c>
      <c r="G155">
        <v>0.36099999999999999</v>
      </c>
      <c r="H155">
        <v>0</v>
      </c>
      <c r="I155">
        <v>0.158</v>
      </c>
      <c r="J155">
        <v>2.5000000000000001E-2</v>
      </c>
      <c r="K155">
        <v>2019</v>
      </c>
    </row>
    <row r="156" spans="1:11" x14ac:dyDescent="0.3">
      <c r="A156">
        <v>155</v>
      </c>
      <c r="B156" s="1" t="s">
        <v>169</v>
      </c>
      <c r="C156" s="1" t="s">
        <v>91</v>
      </c>
      <c r="D156">
        <v>3.0830000000000002</v>
      </c>
      <c r="E156">
        <v>2.5999999999999999E-2</v>
      </c>
      <c r="F156">
        <v>0</v>
      </c>
      <c r="G156">
        <v>0.105</v>
      </c>
      <c r="H156">
        <v>0.22500000000000001</v>
      </c>
      <c r="I156">
        <v>0.23499999999999999</v>
      </c>
      <c r="J156">
        <v>3.5000000000000003E-2</v>
      </c>
      <c r="K156">
        <v>2019</v>
      </c>
    </row>
    <row r="157" spans="1:11" x14ac:dyDescent="0.3">
      <c r="A157">
        <v>156</v>
      </c>
      <c r="B157" s="1" t="s">
        <v>187</v>
      </c>
      <c r="C157" s="1" t="str">
        <f>VLOOKUP(_2019[[#This Row],[Country or region]],'2016'!$1:$1048576,2,FALSE)</f>
        <v>Sub-Saharan Africa</v>
      </c>
      <c r="D157">
        <v>2.8530000000000002</v>
      </c>
      <c r="E157">
        <v>0.30599999999999999</v>
      </c>
      <c r="F157">
        <v>0.57499999999999996</v>
      </c>
      <c r="G157">
        <v>0.29499999999999998</v>
      </c>
      <c r="H157">
        <v>0.01</v>
      </c>
      <c r="I157">
        <v>0.20200000000000001</v>
      </c>
      <c r="J157">
        <v>9.0999999999999998E-2</v>
      </c>
      <c r="K157">
        <v>2019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730C-DBC5-4569-B020-4A120736DA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F4008-62AC-4AAC-B62E-2CA577C0E7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2015</vt:lpstr>
      <vt:lpstr>2016</vt:lpstr>
      <vt:lpstr>2017</vt:lpstr>
      <vt:lpstr>2018</vt:lpstr>
      <vt:lpstr>2019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moath majdi</dc:creator>
  <cp:lastModifiedBy>moath majdi</cp:lastModifiedBy>
  <dcterms:created xsi:type="dcterms:W3CDTF">2026-04-26T09:12:09Z</dcterms:created>
  <dcterms:modified xsi:type="dcterms:W3CDTF">2026-04-26T09:56:35Z</dcterms:modified>
</cp:coreProperties>
</file>